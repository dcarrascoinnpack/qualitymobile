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0" yWindow="0" windowWidth="16380" windowHeight="8190" tabRatio="500"/>
  </bookViews>
  <sheets>
    <sheet name="BASE DE DATOS" sheetId="4" r:id="rId1"/>
  </sheets>
  <definedNames>
    <definedName name="_xlnm._FilterDatabase" localSheetId="0" hidden="1">'BASE DE DATOS'!$A$1:$AC$247</definedName>
  </definedNames>
  <calcPr calcId="145621"/>
  <extLst>
    <ext xmlns:loext="http://schemas.libreoffice.org/" uri="{7626C862-2A13-11E5-B345-FEFF819CDC9F}">
      <loext:extCalcPr stringRefSyntax="ExcelA1"/>
    </ext>
  </extLst>
</workbook>
</file>

<file path=xl/calcChain.xml><?xml version="1.0" encoding="utf-8"?>
<calcChain xmlns="http://schemas.openxmlformats.org/spreadsheetml/2006/main">
  <c r="N156" i="4" l="1"/>
  <c r="M135" i="4"/>
  <c r="M133" i="4"/>
  <c r="N107" i="4"/>
  <c r="M76" i="4"/>
  <c r="M84" i="4"/>
  <c r="M78" i="4"/>
  <c r="M77" i="4"/>
  <c r="M57" i="4"/>
  <c r="M56" i="4"/>
  <c r="M55" i="4"/>
  <c r="M74" i="4"/>
  <c r="M53" i="4"/>
  <c r="M80" i="4"/>
  <c r="N233" i="4"/>
  <c r="N234" i="4"/>
  <c r="N235" i="4"/>
  <c r="N236" i="4"/>
  <c r="N237" i="4"/>
  <c r="N238" i="4"/>
  <c r="N239" i="4"/>
  <c r="N240" i="4"/>
  <c r="N241" i="4"/>
  <c r="N242" i="4"/>
  <c r="N243" i="4"/>
  <c r="N244" i="4"/>
  <c r="N245" i="4"/>
  <c r="N246" i="4"/>
  <c r="N247" i="4"/>
  <c r="N202" i="4"/>
  <c r="N231" i="4"/>
  <c r="N230" i="4"/>
  <c r="N229" i="4"/>
  <c r="N144" i="4"/>
  <c r="N220" i="4"/>
  <c r="N221" i="4"/>
  <c r="N222" i="4"/>
  <c r="N223" i="4"/>
  <c r="N224" i="4"/>
  <c r="N225" i="4"/>
  <c r="N226" i="4"/>
  <c r="N227" i="4"/>
  <c r="N228" i="4"/>
  <c r="N219" i="4"/>
  <c r="N218" i="4"/>
  <c r="N217" i="4"/>
  <c r="N216" i="4"/>
  <c r="N138" i="4"/>
  <c r="N208" i="4"/>
  <c r="N210" i="4"/>
  <c r="N209" i="4"/>
  <c r="N126" i="4"/>
  <c r="N137" i="4"/>
  <c r="N111" i="4"/>
  <c r="N124" i="4"/>
  <c r="N125" i="4" l="1"/>
  <c r="N112" i="4"/>
  <c r="N64" i="4"/>
  <c r="N114" i="4"/>
  <c r="N207" i="4"/>
  <c r="N206" i="4"/>
  <c r="N232" i="4"/>
  <c r="N205" i="4"/>
  <c r="N204" i="4"/>
  <c r="N203" i="4"/>
  <c r="N201" i="4"/>
  <c r="N200" i="4"/>
  <c r="N199" i="4"/>
  <c r="N198" i="4"/>
  <c r="N197" i="4"/>
  <c r="N196" i="4"/>
  <c r="N195" i="4"/>
  <c r="N194" i="4"/>
  <c r="N193" i="4"/>
  <c r="N192" i="4"/>
  <c r="N191" i="4"/>
  <c r="N190" i="4"/>
  <c r="N189" i="4"/>
  <c r="N188" i="4"/>
  <c r="N187" i="4"/>
  <c r="N186" i="4"/>
  <c r="N185" i="4"/>
  <c r="N184" i="4"/>
  <c r="N183" i="4"/>
  <c r="N182" i="4"/>
  <c r="N171" i="4"/>
  <c r="N172" i="4"/>
  <c r="N164" i="4"/>
  <c r="N179" i="4"/>
  <c r="N178" i="4"/>
  <c r="N177" i="4"/>
  <c r="N175" i="4"/>
  <c r="N180" i="4"/>
  <c r="N181" i="4"/>
  <c r="N174" i="4"/>
  <c r="N167" i="4"/>
  <c r="N170" i="4"/>
  <c r="N143" i="4"/>
  <c r="N176" i="4"/>
  <c r="N169" i="4"/>
  <c r="N166" i="4"/>
  <c r="N165" i="4"/>
  <c r="N168" i="4"/>
  <c r="N163" i="4"/>
  <c r="N173" i="4"/>
  <c r="N161" i="4"/>
  <c r="N149" i="4"/>
  <c r="N159" i="4"/>
  <c r="N148" i="4"/>
  <c r="N157" i="4"/>
  <c r="N155" i="4"/>
  <c r="N158" i="4"/>
  <c r="N153" i="4"/>
  <c r="N154" i="4"/>
  <c r="N151" i="4"/>
  <c r="N162" i="4"/>
  <c r="N160" i="4"/>
  <c r="N147" i="4"/>
  <c r="N145" i="4"/>
  <c r="N146" i="4"/>
  <c r="N152" i="4"/>
  <c r="N150" i="4"/>
  <c r="N142" i="4"/>
  <c r="N141" i="4"/>
  <c r="N140" i="4"/>
  <c r="N139" i="4"/>
  <c r="N214" i="4"/>
  <c r="N215" i="4"/>
  <c r="N136" i="4"/>
  <c r="N135" i="4"/>
  <c r="N134" i="4"/>
  <c r="N133" i="4"/>
  <c r="N132" i="4"/>
  <c r="N131" i="4"/>
  <c r="N130" i="4"/>
  <c r="N129" i="4"/>
  <c r="N128" i="4"/>
  <c r="N127" i="4"/>
  <c r="N213" i="4"/>
  <c r="N211" i="4"/>
  <c r="N212" i="4"/>
  <c r="N71" i="4"/>
  <c r="N106" i="4"/>
  <c r="N70" i="4"/>
  <c r="N73" i="4"/>
  <c r="N62" i="4"/>
  <c r="N109" i="4"/>
  <c r="N72" i="4"/>
  <c r="N123" i="4"/>
  <c r="N122" i="4"/>
  <c r="N113" i="4"/>
  <c r="N67" i="4"/>
  <c r="N68" i="4"/>
  <c r="N105" i="4"/>
  <c r="N69" i="4"/>
  <c r="N115" i="4"/>
  <c r="N104" i="4"/>
  <c r="N119" i="4"/>
  <c r="N121" i="4"/>
  <c r="N120" i="4"/>
  <c r="N65" i="4"/>
  <c r="N118" i="4"/>
  <c r="N108" i="4"/>
  <c r="N103" i="4"/>
  <c r="N102" i="4"/>
  <c r="N101" i="4"/>
  <c r="N100" i="4"/>
  <c r="N99" i="4"/>
  <c r="N98" i="4"/>
  <c r="N110" i="4"/>
  <c r="N97" i="4"/>
  <c r="N43" i="4"/>
  <c r="N63" i="4"/>
  <c r="N61" i="4"/>
  <c r="N117" i="4"/>
  <c r="N116" i="4"/>
  <c r="N66" i="4"/>
  <c r="N82" i="4"/>
  <c r="N95" i="4"/>
  <c r="N90" i="4"/>
  <c r="N83" i="4"/>
  <c r="N76" i="4"/>
  <c r="N59" i="4"/>
  <c r="N54" i="4"/>
  <c r="N84" i="4"/>
  <c r="N78" i="4"/>
  <c r="N77" i="4"/>
  <c r="N41" i="4"/>
  <c r="N57" i="4"/>
  <c r="N56" i="4"/>
  <c r="N55" i="4"/>
  <c r="N74" i="4"/>
  <c r="N53" i="4"/>
  <c r="N47" i="4"/>
  <c r="N93" i="4"/>
  <c r="N94" i="4"/>
  <c r="N80" i="4"/>
  <c r="N85" i="4"/>
  <c r="N58" i="4"/>
  <c r="N52" i="4"/>
  <c r="N51" i="4"/>
  <c r="N75" i="4"/>
  <c r="N60" i="4"/>
  <c r="N87" i="4"/>
  <c r="N42" i="4"/>
  <c r="N40" i="4"/>
  <c r="N39" i="4"/>
  <c r="N96" i="4"/>
  <c r="N45" i="4"/>
  <c r="N46" i="4"/>
  <c r="N86" i="4"/>
  <c r="N88" i="4"/>
  <c r="N92" i="4"/>
  <c r="N91" i="4"/>
  <c r="N89" i="4"/>
  <c r="N48" i="4"/>
  <c r="N44" i="4"/>
  <c r="N38" i="4"/>
  <c r="N49" i="4"/>
  <c r="N79" i="4"/>
  <c r="N50" i="4"/>
  <c r="N81" i="4"/>
  <c r="N37" i="4"/>
  <c r="N36" i="4"/>
  <c r="N35" i="4"/>
  <c r="N34" i="4"/>
  <c r="N33" i="4"/>
  <c r="N32" i="4"/>
  <c r="N31" i="4"/>
  <c r="N30" i="4"/>
  <c r="N29" i="4"/>
  <c r="N28" i="4"/>
  <c r="N27" i="4"/>
  <c r="N26" i="4"/>
  <c r="N25" i="4"/>
  <c r="N24" i="4"/>
  <c r="N23" i="4"/>
  <c r="N22" i="4"/>
  <c r="N21" i="4"/>
  <c r="N20" i="4"/>
  <c r="N19" i="4"/>
  <c r="N18" i="4"/>
  <c r="N17" i="4"/>
  <c r="N16" i="4"/>
  <c r="N15" i="4"/>
  <c r="N14" i="4"/>
  <c r="N13" i="4"/>
  <c r="N12" i="4"/>
  <c r="N11" i="4"/>
  <c r="N10" i="4"/>
  <c r="N9" i="4"/>
  <c r="N8" i="4"/>
  <c r="N7" i="4"/>
  <c r="N6" i="4"/>
  <c r="N5" i="4"/>
  <c r="N4" i="4"/>
  <c r="N3" i="4"/>
  <c r="N2" i="4"/>
</calcChain>
</file>

<file path=xl/sharedStrings.xml><?xml version="1.0" encoding="utf-8"?>
<sst xmlns="http://schemas.openxmlformats.org/spreadsheetml/2006/main" count="3699" uniqueCount="1240">
  <si>
    <t>MES</t>
  </si>
  <si>
    <t>CANT. RECHAZADA</t>
  </si>
  <si>
    <t>CANT. RECUPERADA</t>
  </si>
  <si>
    <t>% RECUP.</t>
  </si>
  <si>
    <t>Enero</t>
  </si>
  <si>
    <t>Febrero</t>
  </si>
  <si>
    <t>Marzo</t>
  </si>
  <si>
    <t>Abril</t>
  </si>
  <si>
    <t>Mayo</t>
  </si>
  <si>
    <t>Junio</t>
  </si>
  <si>
    <t>Rechazo</t>
  </si>
  <si>
    <t>Sin clasificar</t>
  </si>
  <si>
    <t>PRENSA</t>
  </si>
  <si>
    <t>Cuarentena</t>
  </si>
  <si>
    <t>Calidad de Impresión(manchas, piojos, velos ,repintes, otros)</t>
  </si>
  <si>
    <t>Reclamo</t>
  </si>
  <si>
    <t>Color según estándar del cliente</t>
  </si>
  <si>
    <t>TROQUEL</t>
  </si>
  <si>
    <t>Pegado Deficiente (adhesivo visible, débil, interior, despegados)</t>
  </si>
  <si>
    <t>Diferencia de color/Tono</t>
  </si>
  <si>
    <t>PRENSA EMPLACADO</t>
  </si>
  <si>
    <t>Arrugas y/o Roturas leves</t>
  </si>
  <si>
    <t>PEGADO INDUSTRIAL</t>
  </si>
  <si>
    <t>Crítico</t>
  </si>
  <si>
    <t>Calidad del Troquelado/corte (reventón, calce, corte, medio corte, plisado)</t>
  </si>
  <si>
    <t>PEGADO FARMA</t>
  </si>
  <si>
    <t>Mayor</t>
  </si>
  <si>
    <t>Marcas/ Manchas de proceso</t>
  </si>
  <si>
    <t>DESARROLLO</t>
  </si>
  <si>
    <t>Menor</t>
  </si>
  <si>
    <t>Rotulación y logo de embalaje</t>
  </si>
  <si>
    <t>Desprendimientos (Cartulina,papel, Pet, Tintas, Barniz, Folia)</t>
  </si>
  <si>
    <t>CARGA DE ARCHIVO</t>
  </si>
  <si>
    <t>Mezcla de Productos</t>
  </si>
  <si>
    <t>EDICIÓN</t>
  </si>
  <si>
    <t>Homogeneidad en aplicación de Barniz y Serigrafía</t>
  </si>
  <si>
    <t>COMERCIAL</t>
  </si>
  <si>
    <t>Texto íntegro y legible</t>
  </si>
  <si>
    <t>ADQUISICIONES</t>
  </si>
  <si>
    <t>BAGO</t>
  </si>
  <si>
    <t>Descalces</t>
  </si>
  <si>
    <t>SGI</t>
  </si>
  <si>
    <t>PETRIZZIO</t>
  </si>
  <si>
    <t>Error de Impresión</t>
  </si>
  <si>
    <t>TALLER EXTERNO</t>
  </si>
  <si>
    <t>DAVIS</t>
  </si>
  <si>
    <t>Lectura código de barra EAN 13</t>
  </si>
  <si>
    <t>CAROZZI</t>
  </si>
  <si>
    <t>Error en documentación de liberación</t>
  </si>
  <si>
    <t>LOGISTICA</t>
  </si>
  <si>
    <t>SAVAL</t>
  </si>
  <si>
    <t>Calidad del sustrato (falla estuco, lisura, desprendimiento)</t>
  </si>
  <si>
    <t>AG</t>
  </si>
  <si>
    <t>Cantidad requerida por embalaje (caja, paquete, pallet)</t>
  </si>
  <si>
    <t>RECALCINE</t>
  </si>
  <si>
    <t>Armado y cierre</t>
  </si>
  <si>
    <t>PRE-PRENSA</t>
  </si>
  <si>
    <t>PRATER</t>
  </si>
  <si>
    <t>Condición y estado del pallet</t>
  </si>
  <si>
    <t>KNOP</t>
  </si>
  <si>
    <t>Inocuidad del Producto (contaminado, cuerpo extraño)</t>
  </si>
  <si>
    <t>SYNTHON</t>
  </si>
  <si>
    <t>Deslaminado</t>
  </si>
  <si>
    <t>MULTI X</t>
  </si>
  <si>
    <t>Curvatura leve</t>
  </si>
  <si>
    <t>EMPLACADO</t>
  </si>
  <si>
    <t>ZOETIS</t>
  </si>
  <si>
    <t>Despegue parcial</t>
  </si>
  <si>
    <t>TALLER</t>
  </si>
  <si>
    <t>ABBOTT</t>
  </si>
  <si>
    <t>Calidad Folia</t>
  </si>
  <si>
    <t>BLUNDING</t>
  </si>
  <si>
    <t>SPOT</t>
  </si>
  <si>
    <t>CALIDAD</t>
  </si>
  <si>
    <t>PRENSA / TROQUEL</t>
  </si>
  <si>
    <t>Control operacional</t>
  </si>
  <si>
    <t>Fallas Ajuste de máquina</t>
  </si>
  <si>
    <t>Fallas del Proceso de Configuración Inicial</t>
  </si>
  <si>
    <t>Fallas de limpieza/ condición de equipo</t>
  </si>
  <si>
    <t>Fallas de control de insumos en el proceso</t>
  </si>
  <si>
    <t>Fallas de Supervisión</t>
  </si>
  <si>
    <t>Fallas de Comunicación Operativa</t>
  </si>
  <si>
    <t>SIN DATO</t>
  </si>
  <si>
    <t>XL-3</t>
  </si>
  <si>
    <t>XL-2</t>
  </si>
  <si>
    <t>BOBST 106-2</t>
  </si>
  <si>
    <t>EXPERTFOLD</t>
  </si>
  <si>
    <t>KBA 145/164</t>
  </si>
  <si>
    <t>KBA 145/164 STOCK 142 (DA)</t>
  </si>
  <si>
    <t>DIANA PRO 2</t>
  </si>
  <si>
    <t>DIANA 3</t>
  </si>
  <si>
    <t>EXPERFOLD</t>
  </si>
  <si>
    <t>N°</t>
  </si>
  <si>
    <t>MES_NUM</t>
  </si>
  <si>
    <t>TIPO PNC</t>
  </si>
  <si>
    <t>FECHA INGRESO</t>
  </si>
  <si>
    <t>NP/NV</t>
  </si>
  <si>
    <t>CLIENTE</t>
  </si>
  <si>
    <t>CÓDIGO</t>
  </si>
  <si>
    <t>PRODUCTO</t>
  </si>
  <si>
    <t>CANT. REQUERIDA</t>
  </si>
  <si>
    <t>PNC REAL (MALOS REV.)</t>
  </si>
  <si>
    <t>FECHA FABRIC.</t>
  </si>
  <si>
    <t>DESCRIPCIÓN DEFECTO</t>
  </si>
  <si>
    <t>CATEGORÍA DEFECTO</t>
  </si>
  <si>
    <t>NIVEL</t>
  </si>
  <si>
    <t>TIPO DE FALLA</t>
  </si>
  <si>
    <t>ÁREA</t>
  </si>
  <si>
    <t>MÁQUINA</t>
  </si>
  <si>
    <t>OPERADOR</t>
  </si>
  <si>
    <t>SUPERVISOR</t>
  </si>
  <si>
    <t>REVISADO POR</t>
  </si>
  <si>
    <t>IMPACTO</t>
  </si>
  <si>
    <t>OBSERVACIÓN</t>
  </si>
  <si>
    <t>CAUSA RAÍZ</t>
  </si>
  <si>
    <t>ACCIONES CORRECTIVAS</t>
  </si>
  <si>
    <t>VERIFICACIÓN/SEGUIMIENTO</t>
  </si>
  <si>
    <t>3688</t>
  </si>
  <si>
    <t>4484001519684</t>
  </si>
  <si>
    <t>ES. GOLDEN 6x18 G 2025 (1519684) 100% CERTIFICADO PEFC</t>
  </si>
  <si>
    <t>Certificado de análisis adjunto a la partida declara valor largura y anchura (expandido) que no corresponde a lo establecido en la especificación técnica de ecsa.(ver imagen)</t>
  </si>
  <si>
    <t>A. GUERRERO</t>
  </si>
  <si>
    <t>Calidad</t>
  </si>
  <si>
    <t>21868</t>
  </si>
  <si>
    <t>4413001378508</t>
  </si>
  <si>
    <t>ES. SULIX 2° GEN 0,4mg VTA x 60 mrc (378508)</t>
  </si>
  <si>
    <t>Estuches con excesos de pegamento</t>
  </si>
  <si>
    <t>SELIM SEDAN</t>
  </si>
  <si>
    <t>PRO 2</t>
  </si>
  <si>
    <t>21160</t>
  </si>
  <si>
    <t>4413001408015</t>
  </si>
  <si>
    <t>ES. BOX FGD 0,5mg 4x7c GED HU/PL (408015-01)</t>
  </si>
  <si>
    <t>DIFERENCIA TIPOGRAFÍA</t>
  </si>
  <si>
    <t>SEBASTIAN VALENZUELA</t>
  </si>
  <si>
    <t>3757</t>
  </si>
  <si>
    <t>4484001521332</t>
  </si>
  <si>
    <t>ESTUCHE CHOCOCEREAL 8X18G MANUAL 2026</t>
  </si>
  <si>
    <t>FALTA DE CARPETA DE COLOR PARA COMPROBACIÓN DE CONFORMIDAD EN DISEÑO</t>
  </si>
  <si>
    <t>FRANCISCO HUMENYI</t>
  </si>
  <si>
    <t>DEFECTOS DE IMPRESIÓN MAYOR (MANCHAS)</t>
  </si>
  <si>
    <t>KBA-2</t>
  </si>
  <si>
    <t>3379</t>
  </si>
  <si>
    <t>4478014000754</t>
  </si>
  <si>
    <t>BJ. L45 4OZ CAJUN MCB 8x23,5 CM (4000754)</t>
  </si>
  <si>
    <t>Cuerpo extraño (pelusa)</t>
  </si>
  <si>
    <t>AQUA 120</t>
  </si>
  <si>
    <t>3664</t>
  </si>
  <si>
    <t>4478014001525</t>
  </si>
  <si>
    <t>BJ. MY SALMON TRADICIONAL 8X23,5 CM</t>
  </si>
  <si>
    <t>Deslaminación de poli</t>
  </si>
  <si>
    <t>AQUA 120 WEN CHYAN</t>
  </si>
  <si>
    <t>21742</t>
  </si>
  <si>
    <t>4002001962902</t>
  </si>
  <si>
    <t>ES.SAMEXID 30 MG X 30 CAP. CO (BR)</t>
  </si>
  <si>
    <t>Estuche no pega en aletas</t>
  </si>
  <si>
    <t>21716</t>
  </si>
  <si>
    <t>4093150704361</t>
  </si>
  <si>
    <t>ES. MIGRANOL X 10 CP ROMACO 100% CERTIFICADO PEFC</t>
  </si>
  <si>
    <t>Linea blanca en Aleta</t>
  </si>
  <si>
    <t>21982</t>
  </si>
  <si>
    <t>4093150704198</t>
  </si>
  <si>
    <t>ES. RINOBANEDIF X 10 GR</t>
  </si>
  <si>
    <t>Peladura en braille</t>
  </si>
  <si>
    <t>21648</t>
  </si>
  <si>
    <t>4081114000730</t>
  </si>
  <si>
    <t>ES. SKYN LARGE x 6</t>
  </si>
  <si>
    <t>Manchas negras de tinta en aleta y en la reserva de la información del cliente</t>
  </si>
  <si>
    <t>J. PAILLAMAN</t>
  </si>
  <si>
    <t>S. VALENZUELA</t>
  </si>
  <si>
    <t>D. ARCOS</t>
  </si>
  <si>
    <t>21273</t>
  </si>
  <si>
    <t>4093653714854</t>
  </si>
  <si>
    <t>PR. DILASEDAN 10 MG CP</t>
  </si>
  <si>
    <t>1 unidad presenta textos cortados</t>
  </si>
  <si>
    <t>SM 74-ZL</t>
  </si>
  <si>
    <t>M. PADILLA</t>
  </si>
  <si>
    <t>G. ROMERO</t>
  </si>
  <si>
    <t>Pendiente espera llegada de material</t>
  </si>
  <si>
    <t>Según la información recopilada, se ha identificado que, durante el proceso de impresión, ocurren detenciones de la máquina, lo que resulta en que ciertos pliegos quedan retenidos dentro del equipo. El folleto en cuestión corresponde a un pliego que no fue retirado de manera oportuna una vez detectada la detención de la máquina.</t>
  </si>
  <si>
    <t>Una vez sea recepcionado el material rechazado, se realizará revisión al 100% Se reforzará al personal de área sobre el Procedimiento Área Impresión Offset (PRO-IOF),, con énfasis en los controles aplicables durante el proceso de impresión y en la correcta segregación del material defectuoso</t>
  </si>
  <si>
    <t>Se adjunta en carpeta de PNC Registro de Formación a personal realizada el 05-02-2026</t>
  </si>
  <si>
    <t>21332</t>
  </si>
  <si>
    <t>Estuches despegados</t>
  </si>
  <si>
    <t>L. DEL VERA</t>
  </si>
  <si>
    <t>C. MEDINA</t>
  </si>
  <si>
    <t>Por lo que se puede observar de acuerdo a las imágenes enviadas, el defecto se originó por una inadecuada regulación de la máquina durante el swet up, lo que generó una desviación en el producto durante la operación de pegado. Dicho defecto no fue identificado durante el proceso.</t>
  </si>
  <si>
    <t>Se realizará una inducción al personal, haciendo énfasis en el correcto ajuste de la máquina (set up), en la dosificación adecuada del adhesivo y en las consecuencias de una mala aplicación</t>
  </si>
  <si>
    <t>Se adjunta en carpeta de PNC, registro de formación realizado el 11-02-2026</t>
  </si>
  <si>
    <t>21175</t>
  </si>
  <si>
    <t>4054001097847</t>
  </si>
  <si>
    <t>ES. CR NUTRIT ANTIAG PRO NOCHE 23</t>
  </si>
  <si>
    <t>Cunas pegadas y pegado debil en el lateral del estuche</t>
  </si>
  <si>
    <t>ALPINA 110</t>
  </si>
  <si>
    <t>M. MORALES / C. CARIQUEO</t>
  </si>
  <si>
    <t>F. MUÑOZ</t>
  </si>
  <si>
    <t>NC-MEE 249</t>
  </si>
  <si>
    <t>Según la investigación realizada, las cunas no se pueden abrir debido a que no se llevó a cabo el predoblado previo antes de cargar máquina. Además, se detecto un error en el ajuste del adhesivo, lo que causo un desvío en su aplicación, provocando que las cunas queden pegadas en una de sus orillas</t>
  </si>
  <si>
    <t>Se ajusta la máquina para reforzar el doblez de las cunas durante el proceso. Además, esta tarea se refuerza con un predoblado previo del material antes de cargarlo en la máquina Se hace una charla con personal de línea para reforzar Controles de Procesos, junto con la correcta segregación de las unidades defectuosas que se identifiquen en el proceso</t>
  </si>
  <si>
    <t>Se adjunta en Carpeta de PNC video con las mejoras en máquina para reforzar el doblez de las cunas Se adjunta Registro de Formación realizado a personal el día 13-01-2026</t>
  </si>
  <si>
    <t>21532</t>
  </si>
  <si>
    <t>4054001097981</t>
  </si>
  <si>
    <t>ES. CREMA HIDRATANTE ANTIAGE PRO</t>
  </si>
  <si>
    <t>Dureza en la cuna al armar</t>
  </si>
  <si>
    <t>M. MORALES</t>
  </si>
  <si>
    <t>3591</t>
  </si>
  <si>
    <t>4484014514052</t>
  </si>
  <si>
    <t>BJ. S/IMP PACK 4 UN (1514052)</t>
  </si>
  <si>
    <t>12000 bandejas sin CoA</t>
  </si>
  <si>
    <t>F. QUEZADA</t>
  </si>
  <si>
    <t>005-2026</t>
  </si>
  <si>
    <t>AL momento de cargar, operador de grua toma por error 2 pallets del mismo código de producto pero de otra nota de venta</t>
  </si>
  <si>
    <t>Se realizará capacitación con el personal a cargo del despacho de los productos terminados, reforzando los controles indicados en Instructivo de trabajo Bodega de Producto Terminado y Despacho (INS-LOG-BPT)</t>
  </si>
  <si>
    <t>21384</t>
  </si>
  <si>
    <t>GADORPHARMA</t>
  </si>
  <si>
    <t>4440002000002</t>
  </si>
  <si>
    <t>ES. LURADON 40 x 10 COMP. MM (XESLURADO40MM-GP)-V.2</t>
  </si>
  <si>
    <t>El defecto corresponde a la franja azul institucional de Gador, ubicada en la parte inferior del estuche, donde se observan los espacios blanco producto de la falta de tinta</t>
  </si>
  <si>
    <t>L. ARAVENA</t>
  </si>
  <si>
    <t>M. CASTRO</t>
  </si>
  <si>
    <t>R. BASTIAS</t>
  </si>
  <si>
    <t>MEE-102</t>
  </si>
  <si>
    <t>Según la investigación realizada, el defecto se origina durante el proceso de troquelado. Se ha determinado que el molde presenta gomas duras y un desgaste en el corte por la plancha metálica de contraparte, lo que provoca un leve desprendimiento de estuco</t>
  </si>
  <si>
    <t>Se llevará a cabo una revisión del molde, para realizar el reemplazo de las gomas y el cambio de las planchas metálicas de contraparte para mejorar corte Además, se programará una charla informativa con los operarios para comunicarles sobre el rechazo del producto, con el fin de reforzar los controles de proceso, así como los controles visuales y destructivos durante el proceso productivo</t>
  </si>
  <si>
    <t>21437</t>
  </si>
  <si>
    <t>SIEGFRIED</t>
  </si>
  <si>
    <t>4264001000822</t>
  </si>
  <si>
    <t>ES. UREACER CONTORNO DE OJOS 15G NV (030113000822)</t>
  </si>
  <si>
    <t>Estuches con terminación mate, debe ser brillante.</t>
  </si>
  <si>
    <t>P. ESTROZ</t>
  </si>
  <si>
    <t>D. SEDÁN</t>
  </si>
  <si>
    <t>La desviación se inicia en el requerimiento realizado por el área comercial, en la Solicitud de Desarrollo Gráfico la solicitud solo indica Barniz Acuoso , luego el área de Edición al recibir el requerimiento replica información sin una contrastación con arte del cliente que indica claramente terminaciones barniz UV brillante</t>
  </si>
  <si>
    <t>Se realizará una actualización del Procedimiento del área, reforzar los controles del flujo, hacer uso de las herramientas de contrastaciión que el mismo programa (PILOT) tiene incorporado Se hace una charla con editores para reforzar los controles de contrastación</t>
  </si>
  <si>
    <t>Se adjunta en carpeta de PNC Registro de Formación realizado el 31-01-2026</t>
  </si>
  <si>
    <t>21431</t>
  </si>
  <si>
    <t>4093653714885</t>
  </si>
  <si>
    <t>PR. EC. GLICENEX SR 1000 MG CP</t>
  </si>
  <si>
    <t>En inspección a muestre de 500 se detecta 1 prospecto sin impresión</t>
  </si>
  <si>
    <t>20670</t>
  </si>
  <si>
    <t>300 estuches manchados en aleta de cierre</t>
  </si>
  <si>
    <t>G. MORENO</t>
  </si>
  <si>
    <t>De acuerdo a la investigación realizada, defecto se produce por una abolladura de la mantilla de barniz la cual no fue detectada durante el proceso</t>
  </si>
  <si>
    <t>Jefe de área de Prensa realizará una charla con operarios de líneas para reforzar controles de proceso, identificación y segregación de unidades defectuosas</t>
  </si>
  <si>
    <t>21129</t>
  </si>
  <si>
    <t>VITAFOODS</t>
  </si>
  <si>
    <t>4655001003090</t>
  </si>
  <si>
    <t>ES. SAVEUR C/IMP (15003090)</t>
  </si>
  <si>
    <t>Descuadre, sellado débil</t>
  </si>
  <si>
    <t>De acuerdo con las imágenes compartidas por cliente, el defecto se originó por una inadecuada regulación de la máquina, lo que generó un descalce en el producto durante la operación de pegado. Dicho descalce no fue identificado durante el proceso productivo ni en la inspección efectuada por el área de Calidad.</t>
  </si>
  <si>
    <t>Se realizará una inducción al personal, haciendo enfasis en la dosificación adecuada del adhesivo y en las consecuencias de una mala aplicación</t>
  </si>
  <si>
    <t>Se adjunta en carpeta de PNC Registro de Formación realizado el 16-02-2026 al personal</t>
  </si>
  <si>
    <t>21541</t>
  </si>
  <si>
    <t>SUPERFRUIT</t>
  </si>
  <si>
    <t>4542013047530</t>
  </si>
  <si>
    <t>FJ. CAN OVALADO 500GR CLARKYS 2025 (3200047530)</t>
  </si>
  <si>
    <t>Se identificaron restos de material provenientes del proceso de armado del pote, específicamente del fondo exterior.</t>
  </si>
  <si>
    <t>TERMOFORMADORA</t>
  </si>
  <si>
    <t>J. MUÑOZ</t>
  </si>
  <si>
    <t>S. BUCAREI</t>
  </si>
  <si>
    <t>Según la investigación realizada, el defecto de desprendimiento de tinta se origina debido a un desajuste en la máquina formadora de potes durante el proceso de pegado y apriete del fondo de los vasos. Cuando un vaso cae sobre otro, la tinta suelta que queda en el área de apriete se transfiere al pote siguiente, lo que provoca el defecto observado.</t>
  </si>
  <si>
    <t>El Departamento de Mantención llevó a cabo una revisión exhaustiva de la máquina, durante la cual se detectó el desgaste de una pieza en uno el molde responsable de la formación de la base de los potes. Como resultado, se generó una solicitud de compra para el reemplazo de dicha pieza La máquina fue ajustada para mitigar el defecto, lo que incluyó ajuste en la velocidad de producción y la temperatura de operación, además se reforzará el proceso de revisión de producto terminado , esta revisión más rigurosa será ejecutada por el maquinista y sus ayudantes antes de la liberación del producto</t>
  </si>
  <si>
    <t>21432</t>
  </si>
  <si>
    <t>4093653714877</t>
  </si>
  <si>
    <t>PR. MIGRANOL CP ROMACO 70% CERTIFICADO PEFC</t>
  </si>
  <si>
    <t>No cumple sentido de fibra</t>
  </si>
  <si>
    <t>Según la investigación realizada se evidencia que las muestras del mismo lote están con la fibra a lo largo del folleto, se adjuntan fotografías de la muestra: Para verificar el sentido de la fibra se moja el folleto con agua y se comienza a curvar como indican en las fotografías. Cabe mencionar que para la fabricación del trabajo se indica en las especificaciones: "Cliente solicita fibra paralelo al largo del folleto"</t>
  </si>
  <si>
    <t>19698</t>
  </si>
  <si>
    <t>DOLE</t>
  </si>
  <si>
    <t>4450007713041</t>
  </si>
  <si>
    <t>PREFONDO CE 2KG 6x2</t>
  </si>
  <si>
    <t>Material despegado</t>
  </si>
  <si>
    <t>L. COLOMBO</t>
  </si>
  <si>
    <t>M. LEDEZMA</t>
  </si>
  <si>
    <t>De acuerdo con la investigación realizada, el defecto se originó por una inadecuada regulación de la máquina Diana 3, lo que generó un descalce en el producto durante la operación de pegado. Dicho descalce no fue identificado durante el proceso productivo ni en la inspección efectuada por el área de Calidad.</t>
  </si>
  <si>
    <t>18640</t>
  </si>
  <si>
    <t>4450007713036</t>
  </si>
  <si>
    <t>PREMALETA CE 2,5KG</t>
  </si>
  <si>
    <t>L. COLOMBO M. MORALES</t>
  </si>
  <si>
    <t>20951</t>
  </si>
  <si>
    <t>DUCASSE</t>
  </si>
  <si>
    <t>4037001902110</t>
  </si>
  <si>
    <t>ES. DUCASSE DN-150 CF 14.6 X 12 X 5.5</t>
  </si>
  <si>
    <t>Producto rechazado porque llego incompleto, no contaba con el separador.</t>
  </si>
  <si>
    <t>A. CABEZAS</t>
  </si>
  <si>
    <t>La falta de imterior se debe que al momento de hacer el montaje de este trabajo, operador olvida considerarlo en forma involuntaria</t>
  </si>
  <si>
    <t>21569</t>
  </si>
  <si>
    <t>4002001967049</t>
  </si>
  <si>
    <t>ES. KOPODEX 500MG X30 COM.REC.CENAM (BR)</t>
  </si>
  <si>
    <t>En proceso de análisis se detectaron 16 unidades de 200 unidades totales, con diferencia de tonalidad pantone: 2925-C, según especificaciones técnicas</t>
  </si>
  <si>
    <t>J. PAILLAMAN / A. YAÑEZ</t>
  </si>
  <si>
    <t>T. CONCHA</t>
  </si>
  <si>
    <t>IR 002-2026</t>
  </si>
  <si>
    <t>Según la revisión la desviación se provoca por falta de control durante el proceso de impresión y operador no detecto diferencias de tonalidad durante el tiraje</t>
  </si>
  <si>
    <t>Se implementó control de calidad en el área de prensa con la finalidad de detección de desviaciones durante el proceso de impresión. Se revisa el defecto con el operador y se indica al jefe de área la práctica del control y detener la máquina frente a cualquier desviación que se presente durante el tiraje, además reforzar la correcta segregación de los pliegos post detenciones</t>
  </si>
  <si>
    <t>A partir del 05-01 se cuenta con Inspector de Control de Calidad en área de Prensa</t>
  </si>
  <si>
    <t>21586</t>
  </si>
  <si>
    <t>En proceso de análisis se detectaron 40 unidades de 200 unidades totales, con diferencia de tonalidad pantone: 2925-C, según especificaciones técnicas</t>
  </si>
  <si>
    <t>P. CASTILLO</t>
  </si>
  <si>
    <t>IR 001-2026</t>
  </si>
  <si>
    <t>21611</t>
  </si>
  <si>
    <t>4002001967096</t>
  </si>
  <si>
    <t>ES. DUPHASTON 10 MG X 20 COMP. REC. (BR)</t>
  </si>
  <si>
    <t>En proceso de análisis se detecta que el 8% (25 UN) de la muestra (315 UN), presenta diferencia de tonalidad en Pantone 673-C</t>
  </si>
  <si>
    <t>IR 003-2026</t>
  </si>
  <si>
    <t>21510</t>
  </si>
  <si>
    <t>VALMA</t>
  </si>
  <si>
    <t>4265001000081</t>
  </si>
  <si>
    <t>ES. SUPOSITORIOS DE GLICERINA 3,5G *10 ADULTO</t>
  </si>
  <si>
    <t>Mezcla con producto 20693 que indica Valpa</t>
  </si>
  <si>
    <t>J. ROA</t>
  </si>
  <si>
    <t>D. SEDAN</t>
  </si>
  <si>
    <t>Rechazo 003-26 / MEE</t>
  </si>
  <si>
    <t>El arte de cliente entregado por el área comercial es un archivo de una toma fotográfica, por lo que el editor tuvo que crearlo nuevamente corriendo el riesgo de tipear erróneamente la información, que fue lo que ocurrió en el despacho anterior</t>
  </si>
  <si>
    <t>Se corrigió el archivo unitario del producto en sistema, eliminando el archivo que presentaba el error Se solicita al área comercial solicitar que los artes vengan en formato editable, no capturas fotográficas</t>
  </si>
  <si>
    <t>Se adjunta en carpeta de PNC registro de formación carga de archivo realizado el 27-01-2026</t>
  </si>
  <si>
    <t>3603</t>
  </si>
  <si>
    <t>4484001512126</t>
  </si>
  <si>
    <t>ES. CHOCO CEREAL 6X18G PROMOCIONAL (1512126) 100% CERTIFICADO PEFC</t>
  </si>
  <si>
    <t>Mezcla de materiales al interior de las cajas, con ES. CHOCO CEREAL 8X18G 2019 (1508384) 4484001508384</t>
  </si>
  <si>
    <t>T. RIOS</t>
  </si>
  <si>
    <t>IR 15-2026</t>
  </si>
  <si>
    <t>Se identificó que la mezcla inadecuada de los productos Choco Cereal se debió a un error operacional en el proceso de embalaje. En este caso, se tomó material del producto genérico por equivocación, lo cual resultó en el envío incorrecto de dicho material junto al producto promocional, la mezcla se debe a un mala limpieza del área</t>
  </si>
  <si>
    <t>Con fecha 22 de enero de 2026, se llevó a cabo una capacitación dirigida al personal, con el objetivo de reforzar los siguientes contenidos para la prevención de mezclas: • Limpieza del área de trabajo • Identificación de etiquetas en los productos • Revisión de controles y limpieza durante el proceso Como acción interna se realizará una marcha blanca para facilitar un control visual, los productos promocionales se envolverán en film negro, mientras que los productos genéricos se entregarán en film transparente</t>
  </si>
  <si>
    <t>Se adjunta en carpeta de producto NC, registro de formación realizada el 22-01-2026 a personal de Taller Externo</t>
  </si>
  <si>
    <t>21591</t>
  </si>
  <si>
    <t>Todos los codigos que fueron emitidos</t>
  </si>
  <si>
    <t>Error de certificados que indican gramaje</t>
  </si>
  <si>
    <t>21817- 3692</t>
  </si>
  <si>
    <t>4542013045541</t>
  </si>
  <si>
    <t>FJ. CANNESTER CILINDRICO 500GR BILLA 2024 (3200045541)</t>
  </si>
  <si>
    <t>Falla de hermeticidad</t>
  </si>
  <si>
    <t>DISCOVER CILINDRICA (SFM)</t>
  </si>
  <si>
    <t>C. SEPÚLVEDA</t>
  </si>
  <si>
    <t>A. TREMONT</t>
  </si>
  <si>
    <t>Se ha determinado que la causa raíz probable está relacionada con un mal ajuste en el inicio del proceso de producción, durante la configuración de la máquina armadora de potes, no se calibraron adecuadamente los parámetros críticos, como la temperatura y la presión de sellado, estos desajustes implicaron que parte de la partida haya salido con un tipo de abolladura en la parte baja justo en la unión del material</t>
  </si>
  <si>
    <t>Reforzar con operarios el correcto chequeo de los parámetros de inspección durante el proceso, en especial durante el inicio del proceso (setup), cualquier eventualidad durante el proceso debe quedar registrada en FPS y en Registro Control de Proceso Control de Calidad reforzará el monitoreo durante el proceso, realizando controles a los parámetros definidos, esto incluirá controles más periódicos con el fin de identificar, detectar y corregir desviaciones en tiempo real</t>
  </si>
  <si>
    <t>Se adjunta en carpeta de PNC Registro de Formación realizado 18-02-2026</t>
  </si>
  <si>
    <t>21664</t>
  </si>
  <si>
    <t>4413002371618</t>
  </si>
  <si>
    <t>ES. BETIS 10mg MM x 2 TAB (371618-v5)</t>
  </si>
  <si>
    <t>Fueron encontrados 37 estuches sin trama GMP.</t>
  </si>
  <si>
    <t>F. CARIAGA</t>
  </si>
  <si>
    <t>INF RECHAZO 21-01-2026</t>
  </si>
  <si>
    <t>Durante el tiraje de la producción se registró una falla en el sistema TECHNOTRANS, la cual afectó el suministro de agua y generó variaciones en la temperatura de operación Estas condiciones provocaron múltiples detenciones no programadas del equipo durante el proceso productivo. Posterior a cada detención, se ejecutó la segregación de los pliegos correspondientes; no obstante, se evidencia que dicha segregación probablemente no fue aplicada al 100 % de las unidades potencialmente afectadas por las detenciones del proceso</t>
  </si>
  <si>
    <t>Reforzamiento con capacitación a operarios sobre segregación de pliegos: Verde: Producto OK, sin detalles Azul: Producción con algún detalle identificado en proceso Rojo: Pliegos de prueba para cada proceso y que se envían a destrucción Máquina pasa a Mantención, se realiza mantención correctiva y preventiva a sistema TECHNOTRANS (6 y 9 de enero)</t>
  </si>
  <si>
    <t>Se adjunta en carpeta de PNC evidencia del reporte de Manteción realizado a TECHNOTRANS y Registro de Formación realizado el 05-02-2026</t>
  </si>
  <si>
    <t>21639</t>
  </si>
  <si>
    <t>4054001100652</t>
  </si>
  <si>
    <t>ES. BV HE IS 100ML 75% CERTIFICADO PEFC</t>
  </si>
  <si>
    <t>Durante la inspección se detecta la cuna despegada (7,9%), esto genera que el frasco no entre en el estuche.</t>
  </si>
  <si>
    <t>F. NORAMBUENA</t>
  </si>
  <si>
    <t>NC-MEE 001/26</t>
  </si>
  <si>
    <t>Se determinó que la causa raíz fue una falta de ajuste y verificación periódica del sensor de activación del adhesivo, lo que generó una aplicación inadecuada del producto durante el proceso de pegado de las cunas internas.</t>
  </si>
  <si>
    <t>Se realiza capacitación al personal sobre los controles de proceso y etapas de ajuste para asegurar un correcto pegado del producto.</t>
  </si>
  <si>
    <t>Se adjunta en carpeta de NC Registro de Formación realizado el 19-01-2026</t>
  </si>
  <si>
    <t>3649</t>
  </si>
  <si>
    <t>4484114507033</t>
  </si>
  <si>
    <t>BJ. S/IMP PACK 8 UN (1507033)</t>
  </si>
  <si>
    <t>Dificultad para realizar la carga en el equipo a raíz de la falta de orden</t>
  </si>
  <si>
    <t>TALLER RIOS</t>
  </si>
  <si>
    <t>V. RIOS</t>
  </si>
  <si>
    <t>IR 18-2026 Las medidas informadas en rechazo 302-2025 fueron implementadas</t>
  </si>
  <si>
    <t>Según la investigación realizada, el defecto se origina por un error operativo en el que un operario, sin intención, coloca una caja sin separador en el pallet terminado de un universo de 335 cajas Al momento de la liberación de calidad por AQL no se detectaron cajas sin separadores</t>
  </si>
  <si>
    <t>Se realiza una capacitación al personal el día 22-01-2026, reforzando los siguientes contenidos: • Reforzamiento limpieza de área • Identificación de tacas en producto • Revisión de controles y limpieza durante el proceso</t>
  </si>
  <si>
    <t>Se adjunta en carpeta de NC Registro de Formación realizado el 22-01-2026</t>
  </si>
  <si>
    <t>21587</t>
  </si>
  <si>
    <t>4093150704354</t>
  </si>
  <si>
    <t>ES. B.BLOCAR 12.5 MG X 30 CP VTA</t>
  </si>
  <si>
    <t>En inspección a muestreo de 315 UDS, las 315 presentan línea en la totalidad de la muestra, el defecto de línea sin decoloración causada por aplastamiento de la cartulina y al pasar el dedo sobre ella tiene un leve relieve</t>
  </si>
  <si>
    <t>L. VERA</t>
  </si>
  <si>
    <t>Rechazo 24-2026 (cliente)</t>
  </si>
  <si>
    <t>Se realiza investigación del defecto, se determina que el defecto se origina por un error en la regulación de la presión del carro sobre la correa transportadora durante el inicio del proceso, esta incorrecta regulación provocó la generación de marcas visibles en los estuches. Aunque se ajustó la presión del carro durante el proceso no se encuentra evidencia documentada del incidente</t>
  </si>
  <si>
    <t>Reforzamiento al personal en el Procedimiento del área y en el correcto Control de Proceso y la obligación de informar y dejar evidencia escrita de cualquier incidente durante el proceso Reforzamiento de la adecuada segregación de material no conforme una vez que se detecte un incidente</t>
  </si>
  <si>
    <t>4093250704365</t>
  </si>
  <si>
    <t>ES. OSTEODYN ORAL 100.000 UI x 2 ML MM</t>
  </si>
  <si>
    <t>En inspección a 200 estuches presenta pre cortes y plano no lo indica.</t>
  </si>
  <si>
    <t>Rechazo 05-2026 (Cliente)</t>
  </si>
  <si>
    <t>De acuerdo a la investigación realizada, al momento de cargar el troquel, el asistente comercial buscó solo por medidas y no se percato que el perfil que cargo tenía prepicado</t>
  </si>
  <si>
    <t>Se realiza una charla con asistentes comerciales para que en el futuro al momento de cargar troqueles, no se busque por medidas, sino por perfil, ya que este último contiene toda la información vigente del cliente Se procede a la creación del perfil sin prepicado, se sigue el conducto regular en espera de la aprobación del cliente</t>
  </si>
  <si>
    <t>21342</t>
  </si>
  <si>
    <t>ICB</t>
  </si>
  <si>
    <t>4631001971989</t>
  </si>
  <si>
    <t>ES. PILLOWS CHOCOLATE 720 GR ND (53971989)</t>
  </si>
  <si>
    <t>Estuche con pegamento insuficiente, al momento de que la maquina toma el estuche este se despega</t>
  </si>
  <si>
    <t>DIANA 5</t>
  </si>
  <si>
    <t>K. YUSTIZ</t>
  </si>
  <si>
    <t>Conforme a la investigación realizada, el defecto se atribuye a una deficiencia en el proceso de pegado, originada por una dosificación y aplicación insuficiente de adhesivo. Dicha condición no fue detectada ni corregida por el operador responsable durante la etapa de producción del producto</t>
  </si>
  <si>
    <t>Se realizará una capacitación con el personal del área para reforzar: * Controles de ajuste en la dosificación de adhesivo en disco y corta cola para la detección temprana de desviaciones * Correcta segregación de unidades defectuosas producto de regulaciones durante el Set Up</t>
  </si>
  <si>
    <t>21688</t>
  </si>
  <si>
    <t>4097001125886</t>
  </si>
  <si>
    <t>ES. EDP L.BLUE INF.200(T´24/ENT)</t>
  </si>
  <si>
    <t>Problema de folia por marcas de presión en la cara principal</t>
  </si>
  <si>
    <t>Marcas en folia producto a un mal ajuste operacional en la presión del paño en máquina pegadora</t>
  </si>
  <si>
    <t>Jefe de área realiza charla con el personal de Pegado reforzando el control durante el proceso, reforzando principalmente los controles que se vieron afectados en los rechazos y cuarentenas de estos últimos meses.</t>
  </si>
  <si>
    <t>4002001967106</t>
  </si>
  <si>
    <t>ES. CLINOMAT (BILIVE) T.REC. X 30 CENAM (BR)</t>
  </si>
  <si>
    <t>Problemas de cartulina, velo y cartulina amarilla</t>
  </si>
  <si>
    <t>4002001966997</t>
  </si>
  <si>
    <t>ES. PRIMAQUIN 1MG X 30 COMP. REC (BRU)</t>
  </si>
  <si>
    <t>Repinte en la parte trasera del estuche</t>
  </si>
  <si>
    <t>3606</t>
  </si>
  <si>
    <t>4484004508372</t>
  </si>
  <si>
    <t>DS. GOLDEN 20x18G 2019 (1508372)</t>
  </si>
  <si>
    <t>Diferencia de tono contra carpeta de color</t>
  </si>
  <si>
    <t>D. TAMAYO</t>
  </si>
  <si>
    <t>F. HUMENYI</t>
  </si>
  <si>
    <t>IR 022-2026</t>
  </si>
  <si>
    <t>Producto se imprime de acuerdo a la carta de color vigente en planta, ejecutiva comercial verifica que la contrastación se está realizando con una carta de color no actualizada</t>
  </si>
  <si>
    <t>Ejecutiva comercial con fecha 05-02-2026 hace entrega en planta Carozzi de la actualización de la Carta de Color, queda una carta para el cliente y otra carta en nuestra planta</t>
  </si>
  <si>
    <t>Se adjunta en carpeta de PNC, registro de formación realizado el 30-01-2026</t>
  </si>
  <si>
    <t>3645</t>
  </si>
  <si>
    <t>ARESTI</t>
  </si>
  <si>
    <t>4563005015786</t>
  </si>
  <si>
    <t>CJ. BIB RELATOS DE VALPA GWSM 3LTS (1015786)</t>
  </si>
  <si>
    <t>al momento de colocar la bolsa, se produce el desprendimiento de la cartulina en las aletas inferiores del estuche.</t>
  </si>
  <si>
    <t>STOCK MANUAL 125 (SFM)</t>
  </si>
  <si>
    <t>L. ADASME</t>
  </si>
  <si>
    <t>INF RECLAMO 1/2026</t>
  </si>
  <si>
    <t>El defecto se origina debido a una incorrecta regulación en la dosificación de adhesivo al inicio del proceso de producción</t>
  </si>
  <si>
    <t>Jefe de Calidad realiza muestreo riguroso al producto rechazado en las dependencias del cliente, no encontrando unidades defectuosas Se realizará una capacitación con el personal del área para reforzar: * Controles de ajuste en la dosificación de adhesivo para la detección temprana de desviaciones * Correcta segregación de unidades defectuosas producto de regulaciones durante el Set Up</t>
  </si>
  <si>
    <t>Se adjunta en carpeta PNC Correo del 30-01-2026, resultado muestreo riguroso realizado en planta Se adjunta en carpeta de PNC Registro de Formación realizado el 16-02-2026</t>
  </si>
  <si>
    <t>21210</t>
  </si>
  <si>
    <t>4001001002254</t>
  </si>
  <si>
    <t>ES. FREMAVAL SPRAY NASAL VTA (ND)</t>
  </si>
  <si>
    <t>Estuche presenta ruptura en el costado, al frente y reverso del estuche. Al armar estuche en la maquina se pronuncia el defecto.</t>
  </si>
  <si>
    <t>L. ARAVENA / C. AVELLO / K. MOSQUERA</t>
  </si>
  <si>
    <t>Rechazo 02/2026</t>
  </si>
  <si>
    <t>De acuerdo a la investigación realizada, se ha identificado que el defecto de ruptura de la cartulina en los estuches es atribuido a una presión excesiva entre plisados, provocando un estiramiento de la cartulina, lo que resulta en una rotura de las fibras del material. Este defecto se fue acentuando durante las etapas subsiguientes al troquelado, lo que contribuyó al incremento de la ruptura</t>
  </si>
  <si>
    <t>Se realizará una revisión en la regulación y ajuste de la fórmula para el calibre de cartulina ( altura plisado, ancho y espesor de matriz en contraparte) Se reforzará por medio de una capacitación al personal de matricería</t>
  </si>
  <si>
    <t>Se adjunta en carpeta de PNC evidencia de Registro de Formación realizado el 25-02-2026</t>
  </si>
  <si>
    <t>4001001002507</t>
  </si>
  <si>
    <t>ES. ALTAZINC 15 MG X 40 COMP (ND)</t>
  </si>
  <si>
    <t>Estuche presenta rasgadura en aleta inferior (cierre inferior) que se pronuncia en el armado de este al pasar por la estuchadora.</t>
  </si>
  <si>
    <t>Rechazo 01/2026</t>
  </si>
  <si>
    <t>21637</t>
  </si>
  <si>
    <t>4081114000243</t>
  </si>
  <si>
    <t>ES. LS NUDA x12</t>
  </si>
  <si>
    <t>Durante el proceso en el área de Producción, se identifica que el estuche NUDA x12 presenta manchas tipo grasa o aceite de color oscuro, afectando la imagen del producto e incumpliendo los estándares de calidad establecidos para el producto terminado.</t>
  </si>
  <si>
    <t>G. MORENO J. PAILLAMAN</t>
  </si>
  <si>
    <t>NCI-003</t>
  </si>
  <si>
    <t>De acuerdo a las imágenes compartidas por cliente, el defecto corresponde a repinte, que pudo haberse debido a falta de adherencia por secado incompleto de algunos de los pliegos impresos (probablemente los de la base de la pila). Al momento de realizar el volteado de la pila es factible que se haya realizado de manera prematura, lo que facilitó el desprendimiento de la tinta que aún conservaba solventes sin evaporar</t>
  </si>
  <si>
    <t>Se reforzará con personal el llenado y la verificación del Registro de Trazabilidad de Procesos (Pilas/Pallet ) REG-TRP-PAL, en donde se especifica si el producto lleva secado y el tiempo requerido</t>
  </si>
  <si>
    <t>3378</t>
  </si>
  <si>
    <t>4478001000708</t>
  </si>
  <si>
    <t>SOBRE L45 NEW SLICE 4OZ 174X217 MM (4000708)</t>
  </si>
  <si>
    <t>Estuche presenta defecto de impresión (palabras borrosas y poco legibles), comprometiendo información asociada al distribuidor (requerimiento normativo)</t>
  </si>
  <si>
    <t>O. CAMPOS</t>
  </si>
  <si>
    <t>INF. RECLAMO N° 5</t>
  </si>
  <si>
    <t>De acuerdo a la investigación realizada, se observa una mancha localizada que presenta características compatibles con una posible gota de agua depositada sobre la superficie del pliego durante el proceso de impresión. Este tipo de defecto puede originarse por la condensación en las bandejas de humectación</t>
  </si>
  <si>
    <t>Se realizará capacitación al personal del área sobre Procedimiento área Impresión OffSet (PRO-IOF), reforzando los puntos relacionados con: - Registro Control de Proceso (7.3.4) - Segregación de pliegos defectuosos (7.3.9 – 7.3.10) - Registro en sistema de los incidentes ocurridos durante el proceso (7.3.14)</t>
  </si>
  <si>
    <t>Se adjunta en carpeta de PNC evidencia de Registro de Formación realizado el 24-02-2026</t>
  </si>
  <si>
    <t>21710</t>
  </si>
  <si>
    <t>4093150715910</t>
  </si>
  <si>
    <t>ES. EC.PRESTAT 50 MG X 40 CP VTA</t>
  </si>
  <si>
    <t>En inspección a 315 estuches se detectan 315 con mancha de 1 mm</t>
  </si>
  <si>
    <t>R. CONCHA</t>
  </si>
  <si>
    <t>INF RECHAZO 07-2026</t>
  </si>
  <si>
    <t>El defecto corresponde a marcas por desprendimiento de estuco</t>
  </si>
  <si>
    <t>21433</t>
  </si>
  <si>
    <t>4093653714849</t>
  </si>
  <si>
    <t>PR. EC.TUSIGEN JBE</t>
  </si>
  <si>
    <t>En proceso de revisión del material en Novofarma se detectan 15 folletos rotos que comprometen la lectura del texto</t>
  </si>
  <si>
    <t>R. PEÑA</t>
  </si>
  <si>
    <t>INF RECHAZO 08-2026</t>
  </si>
  <si>
    <t>Tras realizar una revisión en nuestras instalaciones del material rechazado, se ha determinado que el problema es atribuible a la materia prima utilizada, específicamente al sustrato de impresión</t>
  </si>
  <si>
    <t>Se iniciará un proceso de trazabilidad del lote utilizado, ver si aún hay stock disponible para dejar en cuarentena Se gestionará el reclamo correspondiente al proveedor Se realiza charla con los operarios tanto de guillotina, como de impresión para que realicen control adicional a los pliegos de papel, revisando el insumo a contra luz para individualizar este tipo de defecto</t>
  </si>
  <si>
    <t>3659</t>
  </si>
  <si>
    <t>PJ CHILE SPA</t>
  </si>
  <si>
    <t>4780005000053</t>
  </si>
  <si>
    <t>CJ. AROS DE CEBOLLA 1X225 UN (PPL-00053)</t>
  </si>
  <si>
    <t>Cajas de 250 unidades que no corresponden a la cantidad recibida con anterioridad. Existe discrepancia entre las 225 unidades que deben traer y las presentadas en las cajas a recepcionar. Se evidencia una caja con 125 unidades (No corresponde esta cantidad por caja)</t>
  </si>
  <si>
    <t>J. SEDÁN</t>
  </si>
  <si>
    <t>M. BRAVO</t>
  </si>
  <si>
    <t>INFORME RECLAMO A PROVEEDORES 006-26</t>
  </si>
  <si>
    <t>Según la investigación realizada, existe una omisión de la información de cantidad de unidades por cajas al momento de generar la cotización interna (hoja de cambio), esta información no fue considerada al momento de armar la Nota de Producción Si bien la descripción del producto indica 1X225 UN, esta descripción es la propia del cliente y no siempre tiene relación con la forma del embalaje que se debe utilizar Al momento de procesar el producto y no contar con la información se procede a revisar el último despacho y se replica lo enviado con anterioridad</t>
  </si>
  <si>
    <t>Se procede a reacondicionar los pallets que aún estaban en planta, ajustando cantidad y rotulando cajas según el requerimiento del cliente (225 UN) Por medio de la investigación realizada, se conversa con encargado de Cotización de la necesidad de no omitir información técnica entregada por cliente en futuros pedidos</t>
  </si>
  <si>
    <t>21394</t>
  </si>
  <si>
    <t>4111008118121</t>
  </si>
  <si>
    <t>INT.ES.C-200 IGNATIA AMARA X 4 TUBOS (EST+INT)</t>
  </si>
  <si>
    <t>Orificio c/diametro inferior frasco apretado</t>
  </si>
  <si>
    <t>De acuerdo a la investigación realizada, para esta producción se utilizo nueva matriceria por degaste del perfil anterior, el diámetro de los interiores resulto más pequeño a lo aprobado y este diferencia (0.4mm) no fue detectada al momento del setup de la producción</t>
  </si>
  <si>
    <t>Con el fin de estandarizar las medidas y evitar desviaciones por las decimas en las medidas, se le hará llegar a cliente maqueta con diámetro de 13mm para revisión, verificación y validación Una vez que se cuente con un nuevo perfil aprobado, se actualizará información en sistema</t>
  </si>
  <si>
    <t>4111008324980</t>
  </si>
  <si>
    <t>INT.C-200 THUJA OCCIDENTALIS X 4 TUBOS</t>
  </si>
  <si>
    <t>3092</t>
  </si>
  <si>
    <t>4498007500181</t>
  </si>
  <si>
    <t>MALETA CEREZA 2,5 KG SFT 30x50 (200500181)</t>
  </si>
  <si>
    <t>Impresión, deslaminado, rotura liner, rotura, lamina exterior, daños por paletizaje</t>
  </si>
  <si>
    <t>KBA 145/164 AGNATI 145 (DA)</t>
  </si>
  <si>
    <t>A. CRUZ / R. PEÑA D. GOMEZ / Y. ROJAS / L. HERNANDEZ</t>
  </si>
  <si>
    <t>S. VALENZUELA D. AHUMADA</t>
  </si>
  <si>
    <t>Asociado a Factura 25098</t>
  </si>
  <si>
    <t>Impresión: desviación ocurre durante el proceso de ajuste de colores propios de la operación y luego de detenciones imprevistas durante el proceso, no se realiza en forma adecuada la segregación de pliegos defectuosos Deslaminado:: corresponde a un mal ajuste en la dosificación del adhesivo PVA se pudo haber dado durante el set up del proceso Además se aprecia roturas, marcas por paletizaje, mala manipulación del material entre procesos y al momento de enzunchar se ejerce una mayor presión en pallets En todas estas etapas no se realiza en forma adecuada la segregación de pliegos defectuosos</t>
  </si>
  <si>
    <t>Se reforzará a operadores sobre el autocontrol y revisión durante el proceso Reforzamiento con capacitación sobre el descarte de pliegos en los inicios de proceso, estos pliegos deben quedar identificados en pallets con film rojo. Verde: Producción OK, sin detalles. Azul: Producción con algún detalle identificado en el proceso. Rojo: Pliegos de prueba para cada proceso y que se envían a destrucción</t>
  </si>
  <si>
    <t>3422</t>
  </si>
  <si>
    <t>4498007500295</t>
  </si>
  <si>
    <t>MALETA CE 2,5 KG 275X233X95 MM GF (IN00200500295)</t>
  </si>
  <si>
    <t>Descalce de impresión, deslaminado, manchas, rotura liner exterior, daños por paletizaje</t>
  </si>
  <si>
    <t>KBA 145/164 STOCK 145-1 (SFM)</t>
  </si>
  <si>
    <t>O. CAMPOS / E. RAMÍREZ Y. MENDEZ / A. GAYTAN / L. ADASME</t>
  </si>
  <si>
    <t>S. VALENZUELA A. TREMONT</t>
  </si>
  <si>
    <t>Asociado a Factura 24949</t>
  </si>
  <si>
    <t>3423</t>
  </si>
  <si>
    <t>4498007500296</t>
  </si>
  <si>
    <t>MALETA CE 2,5 KG 275X233X95 MM SFCO (IN00200500296)</t>
  </si>
  <si>
    <t>Descalce de impresión, deslaminado, manchas, rotura liner exterior, rotura lamina exterior, daños por paletizaje</t>
  </si>
  <si>
    <t>O. CAMPOS / A. CRUZ / E. RAMÍREZ E. NOGUERA / I. COLINA</t>
  </si>
  <si>
    <t>Asociado a Factura 25007</t>
  </si>
  <si>
    <t>2413</t>
  </si>
  <si>
    <t>4498007500260</t>
  </si>
  <si>
    <t>MALETA CHERRIES CE 2,5 KG 30x50 GARCES RED (IN00200500260)</t>
  </si>
  <si>
    <t>Descalce impresión, deslaminado</t>
  </si>
  <si>
    <t>D. LEIVA / R. PEÑA C. ROCO / R. BRUCE</t>
  </si>
  <si>
    <t>Asociado a Factura 20547</t>
  </si>
  <si>
    <t>Impresión: desviación ocurre durante el proceso de ajuste de colores propios de la operación y luego de detenciones imprevistas durante el proceso, no se realiza en forma adecuada la segregación de pliegos defectuosos Deslaminado:: corresponde a un mal ajuste en la dosificación del adhesivo PVA se pudo haber dado durante el set up del proceso En todas estas etapas no se realiza en forma adecuada la segregación de pliegos defectuosos</t>
  </si>
  <si>
    <t>21520</t>
  </si>
  <si>
    <t>4097001125641</t>
  </si>
  <si>
    <t>ES. EDP ROUGE 200ML/ETN</t>
  </si>
  <si>
    <t>Aleta interior con longitud superior al estandar</t>
  </si>
  <si>
    <t>S. PARADA</t>
  </si>
  <si>
    <t>20309</t>
  </si>
  <si>
    <t>4093150715519</t>
  </si>
  <si>
    <t>ES. EC.FLOGOMAX 10MG X 20 CP VTA</t>
  </si>
  <si>
    <t>Presencia de manchas de tinta en estuches</t>
  </si>
  <si>
    <t>De acuerdo a la imagen enviada por cliente, se determina que el defecto se origino por una salpicadura puntual de tinta o barniz proyectada desde el tren de rodillos hacia el pliego de cartulina, este incidente no fue detectado durante la frecuencia de controles del proceso.</t>
  </si>
  <si>
    <t>Se reforzará los controles de limpieza definidos en el Registro de Limpieza Offset (REG-POES-IOF) y el Registro Control de Procesos Impresión Offset (REG-IOF)</t>
  </si>
  <si>
    <t>3574</t>
  </si>
  <si>
    <t>4484001508390</t>
  </si>
  <si>
    <t>ES. FRUTAS+YOGHURT 8X21G 2019 (1508390)</t>
  </si>
  <si>
    <t>Diferencia de tonalidad contra carpeta de color</t>
  </si>
  <si>
    <t>028-2026</t>
  </si>
  <si>
    <t>La diferencia de color se atribuye a que la referencia de color utilizada (carta de color) correspondía a una versión antigua y no actualizada.</t>
  </si>
  <si>
    <t>Se actualizaron las cartas de color y se entregaron al cliente como referencia vigente para la inspección del material en futuras entregas.</t>
  </si>
  <si>
    <t>2026-04-16 00:00:00</t>
  </si>
  <si>
    <t>4484001508389</t>
  </si>
  <si>
    <t>ES. FR.ROJOS+YOGHURT 8X21G 2019 (1508389)</t>
  </si>
  <si>
    <t>029-2026</t>
  </si>
  <si>
    <t>21784</t>
  </si>
  <si>
    <t>4111001001675</t>
  </si>
  <si>
    <t>ES. HOMEODENTAL GEL DENTAL C/CARBÓN</t>
  </si>
  <si>
    <t>Diferencia de tonos y vetas</t>
  </si>
  <si>
    <t>4001001002471</t>
  </si>
  <si>
    <t>ES. ALTAZINC GOTAS X 30 ML (PY) ND</t>
  </si>
  <si>
    <t>4001001002393</t>
  </si>
  <si>
    <t>ES. VALAXAM-D 160/5/12,5 COMP X 30 (BE) (ND)</t>
  </si>
  <si>
    <t>V. RIOS E. SEIJAS</t>
  </si>
  <si>
    <t>ES. SOMNO 10 MG X 30 (BE) (ND)</t>
  </si>
  <si>
    <t>21780</t>
  </si>
  <si>
    <t>4081714000067</t>
  </si>
  <si>
    <t>CART NAT SUCR 500/15x7</t>
  </si>
  <si>
    <t>Al momento de muestreo, se visualiza que en caja incluye insumos de otro tipo, no correspondiente al enunciado</t>
  </si>
  <si>
    <t>INF RECHAZO FOLIO 001</t>
  </si>
  <si>
    <t>21791</t>
  </si>
  <si>
    <t>4785001438760</t>
  </si>
  <si>
    <t>ES. PACKAGING DIFUSOR DE VARILLAS 150ml Hawaii (PACDV15HAW)</t>
  </si>
  <si>
    <t>Durante la revisión del material, detectamos que los códigos de barra impresos corresponden a EAN de 12 dígitos, cuando el estándar requerido y enviado por nuestra parte era EAN-13.</t>
  </si>
  <si>
    <t>M. SEPÚLVEDA</t>
  </si>
  <si>
    <t>Según los antecedentes recopilados se ha determinado que el error en la asignación del código EAN se origina en la intervención durante el proceso de edición del arte gráfico. El arte recibido por el cliente viene con código UPC-A de 13 digitos (coco lime 0659525598716 / hawaii 0745853438760), al momento de cargar el código el sistema no lee el númeo inicial y carga los digitos y los redistribuye en la barra (coco lime 65952559871 / hawaii 145853438760), dejando un código de 12 dígitos, pero las barras no sufren modificaciones</t>
  </si>
  <si>
    <t>Encargado del área de Desarrollo realizará capacitación a editores, reforzando el uso de la plataforma ART Pro+ y la importancia de mantener la integridad del código EAN</t>
  </si>
  <si>
    <t>4785001598716</t>
  </si>
  <si>
    <t>ES. PACKAGING DIFUSOR DE VARILLAS 150ml COCO LIME (PACDVCL15)</t>
  </si>
  <si>
    <t>21479</t>
  </si>
  <si>
    <t>4648001028395</t>
  </si>
  <si>
    <t>ES. OC-000148990 SUVAXYN FLU (40028395)</t>
  </si>
  <si>
    <t>Manchas en la impresión</t>
  </si>
  <si>
    <t>NDR 004-26</t>
  </si>
  <si>
    <t>En el proceso de carga de archivos, existe una discrepancia entre las medidas de 24 mm y 17 mm., al asignar los perfiles, se utilizó la medida del P003595 (24 mm) en lugar de la del P007219 (17 mm), que correspondía al montaje de la aleta de pegado, con fecha junio 2025 cliente notificó la modificación en las medidas de las aletas Existe una falla en la trazabilidad interna, se evidencia que no está cargado el perfil en la Nota de Venta, tampoco se describe en las especificaciones de trabajo en FPS, la falta de esta información impidió realizar una adecuada validación del perfil durante el proceso</t>
  </si>
  <si>
    <t>Actualización de registros: Incorporar obligatoriamente los perfiles en las especificaciones de la carpeta NV para asegurar que la información base sea verificable en todo el proceso. Validación de archivos: se realizará una revisión al procedimiento para incluir la verificación como</t>
  </si>
  <si>
    <t>21851</t>
  </si>
  <si>
    <t>4001002002341</t>
  </si>
  <si>
    <t>ES. VERTIFIN COMP 16 MG X 7 (MM) (BE) ND</t>
  </si>
  <si>
    <t>Manchas rojas y rotura</t>
  </si>
  <si>
    <t>21758</t>
  </si>
  <si>
    <t>4413001408120</t>
  </si>
  <si>
    <t>ES. BOX GTR 40mg/ml 12x1ml PFS SBA AR (408120-03)</t>
  </si>
  <si>
    <t>4093150704214</t>
  </si>
  <si>
    <t>ES. GLICENEX SR 1000 MG X 30 CP VTA BQ</t>
  </si>
  <si>
    <t>2 tonalidades en una de sus caras</t>
  </si>
  <si>
    <t>F. CAREAGA / P. CASTILLO</t>
  </si>
  <si>
    <t>INF DE RECHAZO 09-2026</t>
  </si>
  <si>
    <t>3571</t>
  </si>
  <si>
    <t>Impresión, curvatura, deslaminado, roturas</t>
  </si>
  <si>
    <t>KBA 2 STOCK 145-2 (SFM)</t>
  </si>
  <si>
    <t>D. LEIVA / R. PEÑA A. MENDEZ / L. ADASME</t>
  </si>
  <si>
    <t>ASOCIADO A FACTURA 25318</t>
  </si>
  <si>
    <t>Impresión: desviación ocurre durante el proceso de ajuste de colores propios de la operación y luego de detenciones imprevistas durante el proceso, no se realiza en forma adecuada la segregación de pliegos defectuosos Deslaminado:: corresponde a un mal ajuste en la dosificación del adhesivo PVA se pudo haber dado durante el set up del proceso, la curvatura se pudo haber Curvatura: corresponde a problemas de humedad, no fue detectado en el proceso Roturas: mala manipulación del material entre procesos y al momento de enzunchar se ejerce una mayor presión en pallets En todas estas etapas no se realiza en forma adecuada la segregación de pliegos defectuosos</t>
  </si>
  <si>
    <t>3499</t>
  </si>
  <si>
    <t>KBA 145/164 KBA 2 STOCK 145-1 (SFM)</t>
  </si>
  <si>
    <t>A. CRUZ / E. RAMÍREZ A. CRUZ / R. PEÑA Y. MENDEZ / A. GAYTAN</t>
  </si>
  <si>
    <t>ASOCIADO A FACTURA 25261</t>
  </si>
  <si>
    <t>4001001001403</t>
  </si>
  <si>
    <t>ES. GESIX CAPS X 30 (BE)</t>
  </si>
  <si>
    <t>Diferencia de tonos</t>
  </si>
  <si>
    <t>La desviación de diferencia de tono corresponde a una incorrecto control operacional y a una deficiente segregación de pliegos durante el proceso , durante el porceso se produjeron 3 detenciones por lavado de rodillo 9 el cual presenta desgaste de goma.</t>
  </si>
  <si>
    <t>4097001125550</t>
  </si>
  <si>
    <t>ES. BM CLAS.BLUE 150ML2023/NTL</t>
  </si>
  <si>
    <t>Color no cumple</t>
  </si>
  <si>
    <t>E. RAMÍREZ O. CAMPOS</t>
  </si>
  <si>
    <t>D-NDR-0455</t>
  </si>
  <si>
    <t>21543</t>
  </si>
  <si>
    <t>4097001125759</t>
  </si>
  <si>
    <t>ES. RED INTENSE 95ML23/DENIM</t>
  </si>
  <si>
    <t>Texto legal no legible</t>
  </si>
  <si>
    <t>Legalidad</t>
  </si>
  <si>
    <t>D-NDR-0453</t>
  </si>
  <si>
    <t>4097001125832</t>
  </si>
  <si>
    <t>ES. EDC CLASSIC 200ML´23/EMC</t>
  </si>
  <si>
    <t>Terminación de barniz no cumple</t>
  </si>
  <si>
    <t>D-NDR-0456</t>
  </si>
  <si>
    <t>La desviación de diferencia de tono corresponde a una incorrecto control operacional y a una deficiente segregación de pliegos durante el proceso El problema de salpicaduras en el proceso de drip off puede estar asociado a una presión excesiva en la unidad de aplicación del barniz UV, lo que provoca una atomización no controlada del material y una distribución irregular sobre el sustrato</t>
  </si>
  <si>
    <t>Se ha asignado un inspector de control de calidad en el área de prensa con la finalidad de detección de desviaciones durante el proceso de impresión. Jefe de ärea revisa el defecto con el operador y se refuerza la practica del control y deteneción de máquina frente a cualquier desviacion que se presente durante el tiraje y la oportuna información de cualquier incidente durante el proceso</t>
  </si>
  <si>
    <t>4097001125809</t>
  </si>
  <si>
    <t>ES. EDP GOLD DLXE200ML´23/MNR</t>
  </si>
  <si>
    <t>Barniz se desprende</t>
  </si>
  <si>
    <t>D-NDR-0454</t>
  </si>
  <si>
    <t>4097001125756</t>
  </si>
  <si>
    <t>ES. EDP BLUE 100(T)23/EMC</t>
  </si>
  <si>
    <t>D-NDR-0457</t>
  </si>
  <si>
    <t>3650</t>
  </si>
  <si>
    <t>4484014520406</t>
  </si>
  <si>
    <t>BJ. S/IMP PACK 4 UN AUTOMÁTICA (1520406)</t>
  </si>
  <si>
    <t>Certificado de análisis adjunto a la partida declara valor de espesor, largura y anchura (expandido) que no corresponde a lo establecido en la especificación técnica de ECSA</t>
  </si>
  <si>
    <t>A. FLORES</t>
  </si>
  <si>
    <t>039 - 2026</t>
  </si>
  <si>
    <t>Durante la emisión del certificado se indicaron las medidas que aparecen en el perfil alto largo y ancho. Las medidas no estaban erróneas solo que no eran las medidas extendidas que corresponde 230x190 y espesor 0.45mm</t>
  </si>
  <si>
    <t>Persona que emita el documento debe Considerar las medidas del producto extendido en las próximas entregas.</t>
  </si>
  <si>
    <t>4002002966830</t>
  </si>
  <si>
    <t>ES. FEMELLE X28 COMP.REC. MM BIO (BRU)</t>
  </si>
  <si>
    <t>En el proceso de análisis de detectó que el 7,3% (23 UN) del 100% de la muestra (325 UN) presentan manchas blancas afectando su apariencia</t>
  </si>
  <si>
    <t>008-2026</t>
  </si>
  <si>
    <t>4002001967146</t>
  </si>
  <si>
    <t>ES. ACUODE 50000 UI X 4 SACHET VTA (BR)</t>
  </si>
  <si>
    <t>En el proceso de análisis de detectó que el 5% (25 UN) del 100% de la muestra (500 UN) presentan diferencia de tonalidad en Pantone 673-C, apreciando un tono más opaco</t>
  </si>
  <si>
    <t>007-2026</t>
  </si>
  <si>
    <t>4002001967239</t>
  </si>
  <si>
    <t>ES. NEOARADIX 10MG X 30 COMP BIO (BRU)</t>
  </si>
  <si>
    <t>En el proceso de análisis se detectaron piojillos en 58 UN (12%) de la muestra total</t>
  </si>
  <si>
    <t>21875</t>
  </si>
  <si>
    <t>4001002002241</t>
  </si>
  <si>
    <t>ES. RULOXAN JBE X 30 ML (MM) ND</t>
  </si>
  <si>
    <t>Diferencia de tono</t>
  </si>
  <si>
    <t>A. YAÑEZ</t>
  </si>
  <si>
    <t>La desviación de diferencia de tono corresponde a una incorrecto control operacional y a una deficiente segregación de pliegos, hay evidencia escrita de segregación de pliegos por defecto de pasados de agua</t>
  </si>
  <si>
    <t>21897</t>
  </si>
  <si>
    <t>4054001093679</t>
  </si>
  <si>
    <t>ES. PB VENDETTA 100 ML C/INT</t>
  </si>
  <si>
    <t>Diferencia de tono, marcas y mal plisado</t>
  </si>
  <si>
    <t>NP corresponde a Reposición</t>
  </si>
  <si>
    <t>La desviaciones detectadas corresponden a un incorrecto control operacional y a una deficiente segregación de producto no conforme.</t>
  </si>
  <si>
    <t>21577</t>
  </si>
  <si>
    <t>4097001125979</t>
  </si>
  <si>
    <t>ES. EMN ACQUA 100+2 POMOS (T/S25) SEASONALS 2024</t>
  </si>
  <si>
    <t>Terminaciones de pegado no cumple</t>
  </si>
  <si>
    <t>D-NDR-0458</t>
  </si>
  <si>
    <t>4054001099774</t>
  </si>
  <si>
    <t>ES. VENDETTA GOLD 100 ML</t>
  </si>
  <si>
    <t>Diferencia de tono y pIojos</t>
  </si>
  <si>
    <t>Dada la cantidad segregada como mala después de la revisión al 100%, las unidades defectuosas pueden corresponder a una mala segregación de pliegos por detención de proceso</t>
  </si>
  <si>
    <t>4054001100915</t>
  </si>
  <si>
    <t>ES. PB VENDETTA BLACK 100 C/INT</t>
  </si>
  <si>
    <t>Diferencia de tono y rayas</t>
  </si>
  <si>
    <t>21890</t>
  </si>
  <si>
    <t>4097001125982</t>
  </si>
  <si>
    <t>ES.ETN ROSE55 + H.CREM50(T/S24 Seasonals 2024)</t>
  </si>
  <si>
    <t>Problemas de barniz (dripp off)</t>
  </si>
  <si>
    <t>21858</t>
  </si>
  <si>
    <t>4093150704297</t>
  </si>
  <si>
    <t>ES. EC. TENVALIN FLU FORTE 12 CP REC VTA</t>
  </si>
  <si>
    <t>Diferencia de tono, raya en aletas y descalce</t>
  </si>
  <si>
    <t>20669</t>
  </si>
  <si>
    <t>4093150704253</t>
  </si>
  <si>
    <t>ES. DILASEDAN 5 MG X 30 CP VTA EST BQ</t>
  </si>
  <si>
    <t>Estuches dañados (rasgados en prepicado lateral).</t>
  </si>
  <si>
    <t>4093150704199</t>
  </si>
  <si>
    <t>ES. RINOBANEDIF X 5 GR MM</t>
  </si>
  <si>
    <t>Resequedad y daños por paletizaje</t>
  </si>
  <si>
    <t>Descalce de impresión, daños por paletizaje</t>
  </si>
  <si>
    <t>2876</t>
  </si>
  <si>
    <t>Daños en los bordes, roturas liner interior y exterior</t>
  </si>
  <si>
    <t>D. AHUMADA</t>
  </si>
  <si>
    <t>IBERICA KBA 144-1 (DA)</t>
  </si>
  <si>
    <t>21682</t>
  </si>
  <si>
    <t>4054001099622</t>
  </si>
  <si>
    <t>ES. SERUM GOTAS NIACINAMIDA 28ML</t>
  </si>
  <si>
    <t>4500038557</t>
  </si>
  <si>
    <t>ES. SERUM GOTAS NIACINAMIDA 28 ML</t>
  </si>
  <si>
    <t>Diferencia de tono respecto estandar cliente</t>
  </si>
  <si>
    <t>3704</t>
  </si>
  <si>
    <t>AQUACHILE</t>
  </si>
  <si>
    <t>4790007011033</t>
  </si>
  <si>
    <t>ES. AQ VERLASSO USA 190x220 MM (3200011033)</t>
  </si>
  <si>
    <t>CUARENTENA POR ( OTRA POSTURA DE PINZA ) DIFERENCIA DE TONO Y MANCHAS</t>
  </si>
  <si>
    <t>ES. PB VENDETTA BLACK 100 C/INT 100% CERTIFICADO PEFC</t>
  </si>
  <si>
    <t>unidades con la aleta interior (cuna) atrapada o mal plegada, lo que provoca que el estuche no se arme correctamente en su estructura interna. Se observa que la cuna no se encuentra pegada, sin embargo, queda atrapada durante el proceso de troquelado o plegado, generando interferencia en el armado del estuche.</t>
  </si>
  <si>
    <t>DIANA EXPERFOLD</t>
  </si>
  <si>
    <t>21852</t>
  </si>
  <si>
    <t>4097001126345</t>
  </si>
  <si>
    <t>ES. NTRL RULOS CR.P250 + GEL200 Seasonals 2026 100% CERTIFICADO PEFC</t>
  </si>
  <si>
    <t>SE ENVIA CUARENTENA POR DIFERENCIA DE TONO</t>
  </si>
  <si>
    <t>4097001126350</t>
  </si>
  <si>
    <t>ES. NTRL.SH350 + MASC100 PR REP/S Seasnals 2026 100% CERTIFICADO PEFC</t>
  </si>
  <si>
    <t>POR TONO Y DESCALCE</t>
  </si>
  <si>
    <t>4097001126879</t>
  </si>
  <si>
    <t>ES. NRL CONT15+CR ANTIAG50/S SEASONALS 2025 100% CERTIFICADO PEFC</t>
  </si>
  <si>
    <t>SE ENVIA A CUARENTENA POR DIFERENCIA DE TONO</t>
  </si>
  <si>
    <t>4097001126355</t>
  </si>
  <si>
    <t>ES. NRL ANTIMAN SER + CREMA/S26 DDM 2026 100% CERTIFICADO PEFC</t>
  </si>
  <si>
    <t>DIFERENCIA DE TONO</t>
  </si>
  <si>
    <t>21923</t>
  </si>
  <si>
    <t>4097001125888</t>
  </si>
  <si>
    <t>ES. EDP ROSE 100ML T'24/ETN 100% CERTIFICADO PEFC</t>
  </si>
  <si>
    <t>por diferencia de tono</t>
  </si>
  <si>
    <t>21969</t>
  </si>
  <si>
    <t>4054001100647</t>
  </si>
  <si>
    <t>ES. BV SHE IS 100ML 100% CERTIFICADO PEFC</t>
  </si>
  <si>
    <t>Desprendimiento de folia y diferencia de tono</t>
  </si>
  <si>
    <t>FRANCISCO MUÑOZ</t>
  </si>
  <si>
    <t>ALPINA</t>
  </si>
  <si>
    <t>4484001508383</t>
  </si>
  <si>
    <t>ES. CEREAL BAR CHIPS 8X21G 2019 (1508383) 100% CERTIFICADO PEFC</t>
  </si>
  <si>
    <t>EN PISO PLANTA SE DETECTA MEZCLA DE MATERIALES AL INTERIOR DE LAS CAJAS</t>
  </si>
  <si>
    <t>VICTOR RIOS</t>
  </si>
  <si>
    <t>21828</t>
  </si>
  <si>
    <t>ALIMENTOS SPA</t>
  </si>
  <si>
    <t>4622001000001</t>
  </si>
  <si>
    <t>ES. P/EMPANADAS 24 UNID</t>
  </si>
  <si>
    <t>estuches despegados ,pegadas las aletas</t>
  </si>
  <si>
    <t>21934</t>
  </si>
  <si>
    <t>4054001100765</t>
  </si>
  <si>
    <t>ES. CR. HIDRASHOCK PRO LUMINOSIDAD DIA V2.0</t>
  </si>
  <si>
    <t>se envia a cuarentena por diferencia de tono y roturas estuches por recuperar en pallet 2</t>
  </si>
  <si>
    <t>4054001100761</t>
  </si>
  <si>
    <t>ES. CR. HIDRASHOCK HIDRATACION DIA V2.0</t>
  </si>
  <si>
    <t>ES. BM CLAS.BLUE 150ML2023/NTL 75% CERTIFICADO PEFC</t>
  </si>
  <si>
    <t>Despegados</t>
  </si>
  <si>
    <t>DIANA 7</t>
  </si>
  <si>
    <t>21729</t>
  </si>
  <si>
    <t>RAVEPHARMA</t>
  </si>
  <si>
    <t>4803001000166</t>
  </si>
  <si>
    <t>ES. VITAMINA E x 30 CAPS SIMI (ANC5000166)</t>
  </si>
  <si>
    <t>De una muestra de 500 unid, 30 estuches con letras en relieve descalzadas. 20 estuches con impresión carente / incompleta</t>
  </si>
  <si>
    <t>20732</t>
  </si>
  <si>
    <t>RESTOMARKET</t>
  </si>
  <si>
    <t>4718001000008</t>
  </si>
  <si>
    <t>ES. NIU 2 ROLL DISEÑO 2025</t>
  </si>
  <si>
    <t>ESTUCHES DESPEGADOS</t>
  </si>
  <si>
    <t>DIANA</t>
  </si>
  <si>
    <t>21658</t>
  </si>
  <si>
    <t>4718001000007</t>
  </si>
  <si>
    <t>ES. NIU 1 ROLL DISEÑO 2025</t>
  </si>
  <si>
    <t>20937</t>
  </si>
  <si>
    <t>JUAN BAS ALIMENTOS S.A.</t>
  </si>
  <si>
    <t>4634004970290</t>
  </si>
  <si>
    <t>DS.KETCHUP DJ 18x100 GR (53970290)</t>
  </si>
  <si>
    <t>"Caja presenta defecto en pegado de aleta inferior del display"</t>
  </si>
  <si>
    <t>20575</t>
  </si>
  <si>
    <t>BIO BEE CHILE S.A.</t>
  </si>
  <si>
    <t>4588005019692</t>
  </si>
  <si>
    <t>CJ.BIOBEE POLINIZACIÓN ABEJORROS</t>
  </si>
  <si>
    <t>ALBERTO TREMONT</t>
  </si>
  <si>
    <t>DIANA 8</t>
  </si>
  <si>
    <t>20846</t>
  </si>
  <si>
    <t>SANITAS</t>
  </si>
  <si>
    <t>4011001005162</t>
  </si>
  <si>
    <t>ES. CEFALMIN 10 COMP. (S-ME5162)</t>
  </si>
  <si>
    <t>Problemas en el armado</t>
  </si>
  <si>
    <t>MIGUEL CASTRO</t>
  </si>
  <si>
    <t>BOBST 106-1</t>
  </si>
  <si>
    <t>diferencia de tono</t>
  </si>
  <si>
    <t>Estuches despegado, falta de adhesivo</t>
  </si>
  <si>
    <t>F Muñoz</t>
  </si>
  <si>
    <t>MONICA VALDIVIA</t>
  </si>
  <si>
    <t>Concha</t>
  </si>
  <si>
    <t>054-2026</t>
  </si>
  <si>
    <t>LUIS VERA</t>
  </si>
  <si>
    <t>calidad</t>
  </si>
  <si>
    <t>producto no llega rechazado de cliente</t>
  </si>
  <si>
    <t>El reventon de pegamento se debe a una maña regulacion del corta cola en el proceso de pegado</t>
  </si>
  <si>
    <t>Regulazion y limpieza diaria del equipo corta cola</t>
  </si>
  <si>
    <t>JUAN PAILLAMAN</t>
  </si>
  <si>
    <t>DIANA TAMAYO</t>
  </si>
  <si>
    <t>AXEL CRUZ DEDIER LEIVA</t>
  </si>
  <si>
    <t>NO HAY NOMPRE OPERADOR</t>
  </si>
  <si>
    <t>FREDDY CARIAGA</t>
  </si>
  <si>
    <t>ALEJANDRO YAÑEZ</t>
  </si>
  <si>
    <t>RICARDO CONCHA</t>
  </si>
  <si>
    <t>Asociado a Factura 24957</t>
  </si>
  <si>
    <t>Daños por paletizaje, mala manipulación del material y al momento de enzunchar se ejerce una mayor presión en pallets La resequedad puede haberse provocado por el mismo daño por paletizaje, que haya quedado materia l expuesto</t>
  </si>
  <si>
    <t>Se reforzará a operadores sobre el autocontrol y revisión del producto antes de ser cargado y despachado a cliente</t>
  </si>
  <si>
    <t>O. CAMPOS / A. CRUZ / E. RAMÍREZ TALLER</t>
  </si>
  <si>
    <t>Asociado a Factura 24700</t>
  </si>
  <si>
    <t>Impresión: desviación ocurre durante el proceso de ajuste de colores propios de la operación y luego de detenciones imprevistas durante el proceso, no se realiza en forma adecuada la segregación de pliegos defectuosos Daños por paletizaje, mala manipulación del material y al momento de enzunchar se ejerce una mayor presión en pallets En todas estas etapas no se realiza en forma adecuada la segregación de pliegos defectuosos</t>
  </si>
  <si>
    <t>C. SEGOVIA / D. RAMIREZ</t>
  </si>
  <si>
    <t>Asociado a Factura 25097</t>
  </si>
  <si>
    <t>Daños en los bordes es consecuencia de un apriete excesivo al momento de paletizar el material Roturas de liner interior y exterior por ajuste de presión en troquel En todas estas etapas no se realiza en forma adecuada la segregación de pliegos defectuosos</t>
  </si>
  <si>
    <t>PEDRO CASTILLO</t>
  </si>
  <si>
    <t>producto de validad de color por comercial</t>
  </si>
  <si>
    <t>direfencia de color por contaminacion de unidades impresoras</t>
  </si>
  <si>
    <t>realizar lilmpieza de todas las unidades impresoras para evitar contaminacion</t>
  </si>
  <si>
    <t>FRANCISCO NORAMBUENA</t>
  </si>
  <si>
    <t>ROLANDO PEÑA</t>
  </si>
  <si>
    <t>HERNAN VARGAS</t>
  </si>
  <si>
    <t>RODRIGO AMAYA</t>
  </si>
  <si>
    <t>040-2026</t>
  </si>
  <si>
    <t>La mezcla ocurrió porque no se realizó limpieza de área. Como resultado se tomó producto ES. CEREAL BAR CHIPS de 6 unidades promocional en producto de ES. CEREAL BAR CHIPS 8 UN (1508383).</t>
  </si>
  <si>
    <t>Reforzar la instrucción al personal sobre segregación de materiales. Se realiza reunión interna de jefaturas para evaluar continuidad de personal operativo.Para la próxima producción los trabajos manuales se realizaran con distinto personal físicamente. Verificar antes y durante el encajonado del diseño corresponda al material programado. Asi mismo durante la inspección final de control de calidad.</t>
  </si>
  <si>
    <t>MARCOS MORALES</t>
  </si>
  <si>
    <t>CLAUDIO CARIQUEO</t>
  </si>
  <si>
    <t>FRANCISCO NORAMBUENA ALEJANDRO SILVA</t>
  </si>
  <si>
    <t>PRODUCTO NVALIDADO POR COMERCIAL E ENVIADO A CLIENTE</t>
  </si>
  <si>
    <t>DIANA V</t>
  </si>
  <si>
    <t>KEIBER ANTIYUE</t>
  </si>
  <si>
    <t>22082</t>
  </si>
  <si>
    <t>ES. OC-000007708 SMP TRIO 40-60 KG X 1 (40040288)</t>
  </si>
  <si>
    <t>EMILIO MONTES</t>
  </si>
  <si>
    <t>22068</t>
  </si>
  <si>
    <t>ES. B.CEFIN SHAMPOO X 80 ML VTA/MM</t>
  </si>
  <si>
    <t>Diferencia de tonos y rayas</t>
  </si>
  <si>
    <t>DEDIER LEIVA</t>
  </si>
  <si>
    <t>22051</t>
  </si>
  <si>
    <t>ES. P.TENSIOMAX 10 MG X 20 CP VTA</t>
  </si>
  <si>
    <t>Reventon en el pre-picado y reventon en braille cara principal.</t>
  </si>
  <si>
    <t>22083</t>
  </si>
  <si>
    <t>INTERPHARMA</t>
  </si>
  <si>
    <t>ES.DISILDEN COMP 50MG X 10COMP REC</t>
  </si>
  <si>
    <t>Diferencia de tono.</t>
  </si>
  <si>
    <t>21867</t>
  </si>
  <si>
    <t>4093150704274</t>
  </si>
  <si>
    <t>ES. MOVIGIL 200MG X 30 CP VTA BQ 100% CERTIFICADO PEFC</t>
  </si>
  <si>
    <t>Diferencia gramaje</t>
  </si>
  <si>
    <t>4093150704302</t>
  </si>
  <si>
    <t>ES. MOVIPLUS 25 MG X 30 CP VTA BQ</t>
  </si>
  <si>
    <t>50715361</t>
  </si>
  <si>
    <t>EC.URODIAL 200 MG X 30 CP VTA ESTUCHE</t>
  </si>
  <si>
    <t>Manchas en aleta de cierre.</t>
  </si>
  <si>
    <t>KBA 2</t>
  </si>
  <si>
    <t>OSVALDO CAMPOS</t>
  </si>
  <si>
    <t>ES. EC.URODIAL 200 MG X 30 CP VTA</t>
  </si>
  <si>
    <t>defecto de impresión (palabras borrosas y poco legibles)</t>
  </si>
  <si>
    <t>KBA 1</t>
  </si>
  <si>
    <t>OSVALDO CAMPOS EMERSON RAMIREZ</t>
  </si>
  <si>
    <t>21859</t>
  </si>
  <si>
    <t>4093653714829</t>
  </si>
  <si>
    <t>PR. P.GLEMAZ 4 MG</t>
  </si>
  <si>
    <t>MANCHA MAYOR A 1 M.M.EN ESCRITURA CON 0-A Y 1-R.</t>
  </si>
  <si>
    <t>SM 74</t>
  </si>
  <si>
    <t>21846</t>
  </si>
  <si>
    <t>4093653714868</t>
  </si>
  <si>
    <t>PR. NASTIZOL COMPOS CP VTA ROMACO 100% CERTIFICADO PEFC</t>
  </si>
  <si>
    <t>Manchas de impresión</t>
  </si>
  <si>
    <t>22029</t>
  </si>
  <si>
    <t>4093150715875</t>
  </si>
  <si>
    <t>ES. EC.NASTIZOL COMP JBE X 100 ML VTA</t>
  </si>
  <si>
    <t>De un muestro de 200 un , 52 estuches presentan lineas en la cara principal de 1.3 cm</t>
  </si>
  <si>
    <t>CD 102</t>
  </si>
  <si>
    <t>AXEL CRUZ</t>
  </si>
  <si>
    <t>50704249</t>
  </si>
  <si>
    <t>EC.NASTIZOL COMPO X 10 CP VTA ESTUCHE</t>
  </si>
  <si>
    <t>Producto por piojos y manchas en estuche.</t>
  </si>
  <si>
    <t>22031</t>
  </si>
  <si>
    <t>BAGLY CHILE</t>
  </si>
  <si>
    <t>106554</t>
  </si>
  <si>
    <t>ES ALFAJOR BOB LECHE 6 UNID (60300106554)</t>
  </si>
  <si>
    <t>Falta de adhesivo , falta de reserva serie y vence barniz</t>
  </si>
  <si>
    <t>22125</t>
  </si>
  <si>
    <t>4002001963661</t>
  </si>
  <si>
    <t>ES. SAMEXID 50 MG X 30 CAP CO (BR)</t>
  </si>
  <si>
    <t>R.concha</t>
  </si>
  <si>
    <t>22088</t>
  </si>
  <si>
    <t>1006004</t>
  </si>
  <si>
    <t>ES.PHB SUPER 8 MEDIO+ PASTA 15ML (1006004</t>
  </si>
  <si>
    <t>Descalce y Poly</t>
  </si>
  <si>
    <t>WEN CHYUAN</t>
  </si>
  <si>
    <t>SERGIO TORO</t>
  </si>
  <si>
    <t>estuches presentan manchas en cara principal ( decoloración ) "</t>
  </si>
  <si>
    <t>4093250704164</t>
  </si>
  <si>
    <t>ES. EC.GLICENEX SR 750MG X 2CP LP MM BQ</t>
  </si>
  <si>
    <t>90 estuches presentan manchas en cara principal (decoloración) "</t>
  </si>
  <si>
    <t>22035</t>
  </si>
  <si>
    <t>77 estuches con diferencia de tono en panton P673</t>
  </si>
  <si>
    <t>219 estuches con diferencia de tonalidad en pantones P673</t>
  </si>
  <si>
    <t>22020</t>
  </si>
  <si>
    <t>ES. NTRLOE GEL PIEL 150ML/26 DISFORM 100% CERTIFICADO PEFC</t>
  </si>
  <si>
    <t>Diferencia de Tono</t>
  </si>
  <si>
    <t>22153</t>
  </si>
  <si>
    <t>50704313</t>
  </si>
  <si>
    <t>ES. DEGRALER FORTE JBE X 20 ML MM</t>
  </si>
  <si>
    <t>Reventon de barille</t>
  </si>
  <si>
    <t>106-1</t>
  </si>
  <si>
    <t>CARLOS RIVERA</t>
  </si>
  <si>
    <t>R. concha</t>
  </si>
  <si>
    <t>22169</t>
  </si>
  <si>
    <t>HELSE LAB</t>
  </si>
  <si>
    <t>1070052</t>
  </si>
  <si>
    <t>ES. SENSOR PLUS RIBBED</t>
  </si>
  <si>
    <t>Diferencia de tono y trama</t>
  </si>
  <si>
    <t>22159</t>
  </si>
  <si>
    <t>4648001038259</t>
  </si>
  <si>
    <t>ES.OC-000130603 LIBRELA 5MG (40038259)</t>
  </si>
  <si>
    <t>Estuches presentan mancha de pegamento en zona de datos variables. Estuches pegados en su interior.</t>
  </si>
  <si>
    <t>De acuerdo a la investigación realizada, el defecto es originado por una mala regulación en la entrega del adhesivo y un deficiente control operacional durante el proceso de pegado, esta desviación generó acumulación y contaminación con pegamento en correas y guías de la máquina</t>
  </si>
  <si>
    <t>Se realiza charla a toda la sección de pegado, para reforzar el procedimiento de limpieza antes y durante el proceso de pegado, la charla se centra en la obligatoriedad de verificar correcta entrega de adhesivo y el estado de limpieza de guías y correas al inicio de cada partida para asegurar la calidad de los productos procesados</t>
  </si>
  <si>
    <t>Se adjuntra en carpeta de PNC, Registro de Formación realizado el 02-06-2026</t>
  </si>
  <si>
    <t>22150</t>
  </si>
  <si>
    <t>50715660</t>
  </si>
  <si>
    <t>ES. BREVEX X 2 CP REC MM</t>
  </si>
  <si>
    <t>Reventon Pre- picado</t>
  </si>
  <si>
    <t>50713621</t>
  </si>
  <si>
    <t>ES. BAGOMICINA 50MG X 2 CP MM</t>
  </si>
  <si>
    <t>Manchas en cara principal</t>
  </si>
  <si>
    <t>JUAN PAILLAMAN ROLANDO PEÑA</t>
  </si>
  <si>
    <t>22174</t>
  </si>
  <si>
    <t>100136</t>
  </si>
  <si>
    <t>ES. AZZURRO 100 ML 100% CERTIFICADO PEFC</t>
  </si>
  <si>
    <t>Marcas de troquel</t>
  </si>
  <si>
    <t>104-1</t>
  </si>
  <si>
    <t>1099083</t>
  </si>
  <si>
    <t>ES. ULTIMATE 100 ML 75% CERTIFICADO PEFC</t>
  </si>
  <si>
    <t>Pegado interior debil por rayas y limbiar estuches</t>
  </si>
  <si>
    <t>20956</t>
  </si>
  <si>
    <t>LEVADURAS COLLICO S.A.</t>
  </si>
  <si>
    <t>4626004010336</t>
  </si>
  <si>
    <t>DS. LEVADURA SECA 10 GR PLASPAK</t>
  </si>
  <si>
    <t>Mal rotulación en la descripción de producto.</t>
  </si>
  <si>
    <t>1070144</t>
  </si>
  <si>
    <t>ES. SENSOR PLUS EXTRA RESISTENTE</t>
  </si>
  <si>
    <t>21398</t>
  </si>
  <si>
    <t>4478007001334 S</t>
  </si>
  <si>
    <t>SOBRE MARKETSIDE SLICE 100g 187x247MM (4001334)</t>
  </si>
  <si>
    <t>Desprendimiento poli</t>
  </si>
  <si>
    <t>AQUA WEN CHYUAN</t>
  </si>
  <si>
    <t>VINICIO GONZALEZ</t>
  </si>
  <si>
    <t>Reclamo N° 30</t>
  </si>
  <si>
    <t>El problema se produjo debido a una detención de máquina, lo que generó una pérdida de temperatura durante el proceso productivo.</t>
  </si>
  <si>
    <t>Se realiza inducción al personal sobre la correcta segregación de pliegos generados durante detenciones de máquina. Dicho material será identificado y mantenido separado del proceso productivo hasta la verificación final.</t>
  </si>
  <si>
    <t>1070106</t>
  </si>
  <si>
    <t>ES. SENSOR PLUS MAGIC FLUORESCENTES</t>
  </si>
  <si>
    <t>Diferencia de tono y piojos</t>
  </si>
  <si>
    <t>20315</t>
  </si>
  <si>
    <t>4001002000454</t>
  </si>
  <si>
    <t>ES. ALEXIA FORTE X 2 COMP (MM) (BE)</t>
  </si>
  <si>
    <t>estuches mal troquelado</t>
  </si>
  <si>
    <t>50704164</t>
  </si>
  <si>
    <t>Marca cara trasera</t>
  </si>
  <si>
    <t>En espera comercial</t>
  </si>
  <si>
    <t>50704198</t>
  </si>
  <si>
    <t>50715829</t>
  </si>
  <si>
    <t>ES. EC.FLOGOMAX 5MG X 20 CP VTA</t>
  </si>
  <si>
    <t>Peladura de braille</t>
  </si>
  <si>
    <t>104-2</t>
  </si>
  <si>
    <t>RODRIGO ALVAREZ</t>
  </si>
  <si>
    <t>21750</t>
  </si>
  <si>
    <t>ALIMENTOS Y FRUTOS</t>
  </si>
  <si>
    <t>15009147</t>
  </si>
  <si>
    <t>ES. C&amp;CO PIZZA 4 QUESOS 650g (15009147)</t>
  </si>
  <si>
    <t>Estuches duros</t>
  </si>
  <si>
    <t>LUIS MONTOYA</t>
  </si>
  <si>
    <t>A La espera de asignacion de revisado</t>
  </si>
  <si>
    <t>50704302</t>
  </si>
  <si>
    <t>Estuches con rayas y piojos</t>
  </si>
  <si>
    <t>Deslaminado y despegados.</t>
  </si>
  <si>
    <t>22239</t>
  </si>
  <si>
    <t>377898</t>
  </si>
  <si>
    <t>ES. BOX GTR 20 MG/ML 30x1 ML PFS PSC CA (377898-02)</t>
  </si>
  <si>
    <t>Reventon de adhesivo lateral</t>
  </si>
  <si>
    <t>22181</t>
  </si>
  <si>
    <t>4097001125337</t>
  </si>
  <si>
    <t>ES. ETN EXTREME REPAIR NOCHE 50G 100% CERTIFICADO PEFC</t>
  </si>
  <si>
    <t>Peladura en pet</t>
  </si>
  <si>
    <t>22220</t>
  </si>
  <si>
    <t>4111001010660</t>
  </si>
  <si>
    <t>ES. GLÓBULO COMPUESTO 40</t>
  </si>
  <si>
    <t>Reventon en cierre de estuche.</t>
  </si>
  <si>
    <t>Estuches con cuna pegada</t>
  </si>
  <si>
    <t>R. Concha</t>
  </si>
  <si>
    <t>21333</t>
  </si>
  <si>
    <t>4413001378071</t>
  </si>
  <si>
    <t>ES. CELECOXIB 200mg vta x 10 cap (378071</t>
  </si>
  <si>
    <t>Mezcla de estuches detectado por cliente</t>
  </si>
  <si>
    <t>R. Bastias</t>
  </si>
  <si>
    <t>4111001103138</t>
  </si>
  <si>
    <t>ES.ARNICA-HAMAMELIS COMP 30CC</t>
  </si>
  <si>
    <t>Rayas , descalce , diferencia de tono , rotura costado de aleta pegado</t>
  </si>
  <si>
    <t>22256</t>
  </si>
  <si>
    <t>4648001022740</t>
  </si>
  <si>
    <t>ES. OC-000009739 SIMPARICA 20MG X1 (40022740)</t>
  </si>
  <si>
    <t>21991</t>
  </si>
  <si>
    <t>BIOSANO</t>
  </si>
  <si>
    <t>4672005126023</t>
  </si>
  <si>
    <t>CJ. TERMOFORMADO 10ml 100A BLANCA CON ISOLOGO BF (0401126023)</t>
  </si>
  <si>
    <t>Estuches chuecos mal armados</t>
  </si>
  <si>
    <t>Falta de separador en caja interior</t>
  </si>
  <si>
    <t>22207</t>
  </si>
  <si>
    <t>4054001100784</t>
  </si>
  <si>
    <t>ES. VERT HIDRASHOCK HIDRATACION D +N V2.0 100% CERTIFICADO PEFC</t>
  </si>
  <si>
    <t>Problema de barniz , descalce</t>
  </si>
  <si>
    <t>22252</t>
  </si>
  <si>
    <t>ES. BV SHE IS 100ML 75% CERTIFICADO PEFC</t>
  </si>
  <si>
    <t>Pegado deficiente cuna</t>
  </si>
  <si>
    <t>22340</t>
  </si>
  <si>
    <t>4111001411758</t>
  </si>
  <si>
    <t>ES.CASTAÑO DE INDIAS 340 MG FRASCO X 60 CAP</t>
  </si>
  <si>
    <t>22339</t>
  </si>
  <si>
    <t>4111001012404</t>
  </si>
  <si>
    <t>ES. ÁRNICA D6 COMPRIMIDOS</t>
  </si>
  <si>
    <t>Manchas , tonos deslavados , tonos claro y oscuros</t>
  </si>
  <si>
    <t>4093653714781</t>
  </si>
  <si>
    <t>PR. EC.TENSIFLEX CP ROMACO</t>
  </si>
  <si>
    <t>22258</t>
  </si>
  <si>
    <t>4001001006911</t>
  </si>
  <si>
    <t>ES. TELLMI-D 40/12,5 COMP X 30 (BE) ND</t>
  </si>
  <si>
    <t>Manchas negras , piojos</t>
  </si>
  <si>
    <t>4001001006953</t>
  </si>
  <si>
    <t>ES. CLONEX CD 0,5 MG X 30 (BE) ND</t>
  </si>
  <si>
    <t>Error de impresión</t>
  </si>
  <si>
    <t>4001001000641</t>
  </si>
  <si>
    <t>ES. BLOX 16 MG X 30 COMP EXP</t>
  </si>
  <si>
    <t>22196</t>
  </si>
  <si>
    <t>4054001101956</t>
  </si>
  <si>
    <t>ES. CUATRIPACK 26 V2 100% CERTIFICADO PEFC</t>
  </si>
  <si>
    <t>Mal armado , cunas duras al armar</t>
  </si>
  <si>
    <t>BLUE SHELL</t>
  </si>
  <si>
    <t>4539001030472</t>
  </si>
  <si>
    <t>ES. 1 LB ENTERO SALSA GARLIC SPECIALLY SELECTED (BAP 2 STARS) FSC MIXTO</t>
  </si>
  <si>
    <t>Estuches Duros.</t>
  </si>
  <si>
    <t>22229</t>
  </si>
  <si>
    <t>4054001101746</t>
  </si>
  <si>
    <t>ES. EXCESS + ELIXIR + VANILLA 30X3 N26 100% CERTIFICADO PEFC</t>
  </si>
  <si>
    <t>Reventon de tapa</t>
  </si>
  <si>
    <t>22289</t>
  </si>
  <si>
    <t>4081114000692</t>
  </si>
  <si>
    <t>ES. GEL LUBR BENTL 50G 100% CERTIFICADO PEFC</t>
  </si>
  <si>
    <t>Manchas negras , piojo y tono</t>
  </si>
  <si>
    <t>4081114000720</t>
  </si>
  <si>
    <t>ES. GEL BEN MANG. MAR. 50g 100% CERTIFICADO PEFC</t>
  </si>
  <si>
    <t>Velo y diferencia de tono</t>
  </si>
  <si>
    <t>22278</t>
  </si>
  <si>
    <t>4002002966225</t>
  </si>
  <si>
    <t>ES.ACUODE (NUEVID) 50000UI X2 MM PY (BR)</t>
  </si>
  <si>
    <t>Falta de texto según arte autorizado</t>
  </si>
  <si>
    <t>Rolando Peña Hernán Vargas</t>
  </si>
  <si>
    <t>Emilio Montes</t>
  </si>
  <si>
    <t>Informe Rechazo 014-2026 (cliente)</t>
  </si>
  <si>
    <t>La falta de texto en el producto final se debió a un error operacional durante la impresión; no se montó la plancha en la unidad de color</t>
  </si>
  <si>
    <t>A partir del 03-06-2026 se define que toda carpeta liberada deben traer adjunto GMG para la totalidad de los SKU asociados a la Nota de Venta, con el fin que el prensista tenga una referencia visual del ítem a imprimir Se realizará reforzamiento al personal del área del Procedimiento Área Impresión Offset (PRO-IOF), reforzamiento en el Control operacional</t>
  </si>
  <si>
    <t>Se adjunta en carpeta de PNC correo con la instrucción de GMG een carpetas liberadas, enviada por Gerencia de Calidad</t>
  </si>
  <si>
    <t>4002001966238</t>
  </si>
  <si>
    <t>ES. ACUODE (NUEVID) 50000UI X2 VTA PY (BR)</t>
  </si>
  <si>
    <t>Informe Rechazo 015-2026 (cliente)</t>
  </si>
  <si>
    <t>4093250704254</t>
  </si>
  <si>
    <t>ES. DILASEDAN 5 MG X 2 CP MM BQ</t>
  </si>
  <si>
    <t>Estuches presentan línea roja de Bioequivalente muy levemente demarcada</t>
  </si>
  <si>
    <t>4093150704249</t>
  </si>
  <si>
    <t>ES. EC.NASTIZOL COMPO X 10 CP VTA</t>
  </si>
  <si>
    <t>Estuches presentan línea (mancha) en aleta de cierre y presentan diferencia de tono respecto a carta de color (minimo-estandar-máximo) permitidos</t>
  </si>
  <si>
    <t>Dedier Leiva</t>
  </si>
  <si>
    <t>4081114000190</t>
  </si>
  <si>
    <t>ES. GEL BENTLEY HOT 50g 100% CERTIFICADO PEFC</t>
  </si>
  <si>
    <t>Reventon y Descalce troquel , diferencia tono</t>
  </si>
  <si>
    <t>4093250704073</t>
  </si>
  <si>
    <t>Manchas por roce en aleta de cierre y puntos blancos</t>
  </si>
  <si>
    <t>Informe de Rechazo 24-2026 (cliente)</t>
  </si>
  <si>
    <t>La investigación a determinado que las reiteradas detenciones en el proceso de impresión alteraron la transferencia y densidad de la tinta, provocando la variación del tono durante el proceso, producto de esto la capa de tinta redujo su resistencia al roce generando las manchas en las aletas de cierre y puntos blancos reportados Durante los controles operacionales defecto no fue evidenciado</t>
  </si>
  <si>
    <t>Se realiza capacitación al personal operacional mediante el reforzamiento del Procedimiento de Impresión Offset (PRO-IOF), el correcto llenado del Registro de Control de Procesos, enfoque en el control densito-métrico de color (REG-IOF-CDE). El objetivo es asegurar la verificación obligatoria de las variables de entintado tras paradas de máquina, previniendo desviación de color</t>
  </si>
  <si>
    <t>Se adjunta en carpeta de PNC Registro de Formación realizado a personal 09-06-2026</t>
  </si>
  <si>
    <t>22349</t>
  </si>
  <si>
    <t>COLORBEL</t>
  </si>
  <si>
    <t>4812001002261</t>
  </si>
  <si>
    <t>ES. CLUNY WATER BOOST SERUM FACIAL 30 ML</t>
  </si>
  <si>
    <t>Error en número de registro</t>
  </si>
  <si>
    <t>María Sepulveda</t>
  </si>
  <si>
    <t>Marco Bravo</t>
  </si>
  <si>
    <t>Carta de Rechazo con fecha 04-06-2025</t>
  </si>
  <si>
    <t>Por error operativo en edición se modifica número de registro ISP, en correo cliente solicita cambio en el número de registro de 3 de los 4 productos de la orden, por error se modifIcaron los 4 SKU</t>
  </si>
  <si>
    <t>Como medida inmediata se corrige archivo editado Se realizará una Revisión del Procedimiento de Desarrollo Se realizará una charla para reforzar tareas en la inspección de Global Vision (última liberación)</t>
  </si>
  <si>
    <t>Se adjunta en carpeta de PNC Registro de Formación realizado a personal de Gloval Vision 05-06-2026</t>
  </si>
  <si>
    <t>4111001504108</t>
  </si>
  <si>
    <t>ES.PALTOMIEL INFANTIL PERU</t>
  </si>
  <si>
    <t>Diferencia de tono naranja</t>
  </si>
  <si>
    <t>Rolando Peña</t>
  </si>
  <si>
    <t>Registro Boletin de Análisis Materiales de Envase y Empaque - 30/05/2026</t>
  </si>
  <si>
    <t>La variación de tono se generó en el inicio del tiro y luego de paradas inesperadas de la máquina durante el proceso de impresión. La falta de una adecuada segregación del material de descarte por parte del operador impidió aislar por completo el producto defectuoso</t>
  </si>
  <si>
    <t>Se reforzará con operarios el procedimiento de segregación pliegos una vez que se logre la estabilidad de la máquina tanto en el inicio de la partida como después de cada detención inesperada durante el proceso de impresión</t>
  </si>
  <si>
    <t>4054001101288</t>
  </si>
  <si>
    <t>ES. CUATRIPACK 26 100% CERTIFICADO PEFC</t>
  </si>
  <si>
    <t>Fill azul , Partida de folia y descalce</t>
  </si>
  <si>
    <t>22283</t>
  </si>
  <si>
    <t>4054001101788</t>
  </si>
  <si>
    <t>ES. PL HOT EXCESS 100 + 30 N26 100% CERTIFICADO PEFC</t>
  </si>
  <si>
    <t>Marca uñeta</t>
  </si>
  <si>
    <t>22331</t>
  </si>
  <si>
    <t>4306001000285</t>
  </si>
  <si>
    <t>ES. MUÑEQUERA SIMPLE (G5EHM0120- F26) 100% CERTIFICADO PEFC</t>
  </si>
  <si>
    <t>Diferencia de tono y empaste en el texto</t>
  </si>
  <si>
    <t>4306001001173</t>
  </si>
  <si>
    <t>ES. PANTORRILLERA BAMBU (G5EBBE05 -F26) 100% CERTIFICADO PEFC</t>
  </si>
  <si>
    <t>4306001000295</t>
  </si>
  <si>
    <t>ES. INMOVILIZADOR DEDO PULGAR (G5EHM011500-F26) 100% CERTIFICADO PEFC</t>
  </si>
  <si>
    <t>Diferencia de tono y gotas de barniz en tecto informativos</t>
  </si>
  <si>
    <t>3821</t>
  </si>
  <si>
    <t>Espesor bajo el limire inferior de aceptación establecido en E.T de ECSA.. Valor del espesor es 455 +- 5% (432,25 - 477,75)</t>
  </si>
  <si>
    <t>INF DE RECLAMO 126-2026</t>
  </si>
  <si>
    <t>Los lotes enviados respetan la tolerancia del fabricante. Para el gramaje de 255 g/m², el espesor normado es 418 ±3%.</t>
  </si>
  <si>
    <t>Tras recibir la notificación del reclamo, se revisó detalladamente los registros de los lotes enviados y se evidenció que el espesor medido se encuentra dentro de los parámetros estándar del fabricante, los cuales contemplan un rango de 418 ±3%. Esto sitúa el límite mínimo aceptable en 405,46, una cifra que todos los lotes despachados cumplen rigurosamente.</t>
  </si>
  <si>
    <t>En carpeta de PNC se adjunta evidencia de los CoA enviados a la fecha y que cumplen con el rango mínimo de tolerancia del grosor y Ficha Ténica del Proveedor</t>
  </si>
  <si>
    <t>3790</t>
  </si>
  <si>
    <t>TRANSANTARTIC</t>
  </si>
  <si>
    <t>4486013205455</t>
  </si>
  <si>
    <t>FJ. MEJ. ESCB. PEQ. CHILE HACENDADO (2205455)</t>
  </si>
  <si>
    <t>Presencia de manchas de tinta roja en el material</t>
  </si>
  <si>
    <t>KBA2</t>
  </si>
  <si>
    <t>N° INCIDENCIA 1000065146</t>
  </si>
  <si>
    <t>Durante el tiraje de inicio se producen pliegos de ajuste de máquina que deben ser tratados como de arreglo y segregados en pallets rojo Esto no se cumplió y provocó su mezcla en el proceso</t>
  </si>
  <si>
    <t>Reforzamiento con personal del área Offset y primeros ayudantes, sobre la correcta segregación de pliegos defectuosos durante el proceso</t>
  </si>
  <si>
    <t>Se adjunta en carpeta de PNC Registro de Formación realizado a personal 12-06-2026</t>
  </si>
  <si>
    <t>22295</t>
  </si>
  <si>
    <t>4001001002243</t>
  </si>
  <si>
    <t>ES. TRIM COMP. 300 MG X 10 (BE)</t>
  </si>
  <si>
    <t>Durante la inspección documental, personal de recepción se percata de una inconsistencia, siendo esta las falta de estuche de muestra en una de las cajas del material.</t>
  </si>
  <si>
    <t>Asdrubal Marcano</t>
  </si>
  <si>
    <t>Cristian Medina</t>
  </si>
  <si>
    <t>4001001000672</t>
  </si>
  <si>
    <t>ES. CELTIUM 20 MG X 30 COMP (EXP)</t>
  </si>
  <si>
    <t>Durante la inspección documental, personal de recepción se percata de una inconsistencia, siendo esta la diferencia en el lote de proveedor indicado en guia de despacho, etiqueta del material y certificado de calidad.</t>
  </si>
  <si>
    <t>Luis Rojas</t>
  </si>
  <si>
    <t>Belinda Quinatnilla</t>
  </si>
  <si>
    <t>K. MERA</t>
  </si>
  <si>
    <t>Error involuntario de digitación de los datos de la Nota de Venta al momento de emitir la Guía de Despacho</t>
  </si>
  <si>
    <t>Se realizó charla al personal administrativo de Despacho y Logística enfocada en la mitigación de errores de digitación en documentos de salida y el autocontrol mediante contrastación de los documentos que se estén emitiendo</t>
  </si>
  <si>
    <t>22094</t>
  </si>
  <si>
    <t>Problemas de sellado</t>
  </si>
  <si>
    <t>22330</t>
  </si>
  <si>
    <t>4306001000354</t>
  </si>
  <si>
    <t>ES. CABESTRILLO BRAZO (G5EHM1100GF26) 100% CERTIFICADO PEFC</t>
  </si>
  <si>
    <t>Diferencia de tono, repinte interior , tono en imagen principal</t>
  </si>
  <si>
    <t>22328</t>
  </si>
  <si>
    <t>4306001000191</t>
  </si>
  <si>
    <t>ES. MUÑEQUERA ORTOPEDICA EN LYCRA (G5EHM117L-F26) 100%</t>
  </si>
  <si>
    <t>Diferencia de tono , descalce en cuño</t>
  </si>
  <si>
    <t>22327</t>
  </si>
  <si>
    <t>4002001966155</t>
  </si>
  <si>
    <t>ES.FEMELLE X 28 COMP.REC. EXP (BRU)</t>
  </si>
  <si>
    <t>Pelusa de troquel</t>
  </si>
  <si>
    <t>22275</t>
  </si>
  <si>
    <t>4081114000236</t>
  </si>
  <si>
    <t>ES. LS CLIMAX x12</t>
  </si>
  <si>
    <t>Rayadura en folia</t>
  </si>
  <si>
    <t>Plisados reventados (hendidos rajados)</t>
  </si>
  <si>
    <t>Uniformidad de color/Impresión</t>
  </si>
  <si>
    <t>Calidad del relieve/cuño</t>
  </si>
  <si>
    <t>Asímetría del formado</t>
  </si>
  <si>
    <t>ES. BLISTEX BÁLSAMO LABIAL BERRY (400846-v3)</t>
  </si>
  <si>
    <t>Diferencia de tono y defecto de impresión.</t>
  </si>
  <si>
    <t xml:space="preserve">ES. FLAMIR GEL 0.1% X 30 GR VTA </t>
  </si>
  <si>
    <t>POR PIOJOS EN CARA PRINCIPAL DEL ESTUCHE.</t>
  </si>
  <si>
    <t>ES. STICK SERUM HS PRO LUM 100% CERTIFICADO PEFC</t>
  </si>
  <si>
    <t>FJ. REXONA CLINICAL WOMAN X2 RED (900000157)</t>
  </si>
  <si>
    <t>ES. PL EDP HOT SENSATION 80ML EXP 100% CERTIFICADO PEFC</t>
  </si>
  <si>
    <t>Multi x</t>
  </si>
  <si>
    <t>BS. ALDI 3oz 174X144X175mm (4001300)</t>
  </si>
  <si>
    <t>Descalce cuño</t>
  </si>
  <si>
    <t>Estuches despegados y manchas de adhesivo</t>
  </si>
  <si>
    <t>ES. FLAMIR GEL 0.1% X 30 GR VTA 100% CERTIFICADO PEFC</t>
  </si>
  <si>
    <t>ES. TALFLEX BI LS X 14 CP VTA</t>
  </si>
  <si>
    <t>ES. NEURYL 2 MG X 30 CP TRI VTA BQ</t>
  </si>
  <si>
    <t>Reveton en el estuches y braille</t>
  </si>
  <si>
    <t>Peladura de braille en cara princial</t>
  </si>
  <si>
    <t>Braille reventado</t>
  </si>
  <si>
    <t>ES.DISILDEN 100MG 3COMP</t>
  </si>
  <si>
    <t>ES.DISILDEN 100MG X 10COMP</t>
  </si>
  <si>
    <t>ES.PHB SUPER 8 MEDIO (1005316)</t>
  </si>
  <si>
    <t>Descalce</t>
  </si>
  <si>
    <t>ES.MOXAVAL X 10COMP (EXP)</t>
  </si>
  <si>
    <t>Saval</t>
  </si>
  <si>
    <t xml:space="preserve">Arrugas en aleta </t>
  </si>
  <si>
    <t>Recalcine</t>
  </si>
  <si>
    <t>ES. ZAVIANA FS 6,25MG X 2 MM COMP. (BR)</t>
  </si>
  <si>
    <t>ES. NEORESOTYL 50MG X 30 COMP (BR)</t>
  </si>
  <si>
    <t>Prater</t>
  </si>
  <si>
    <t>ES. LS NVO SABORES x12</t>
  </si>
  <si>
    <t>Davis</t>
  </si>
  <si>
    <t>ES. AF SH MUSK 75ML'23/DENIM 75% CERTIFICADO PEFC</t>
  </si>
  <si>
    <t>Helse Lab</t>
  </si>
  <si>
    <t>ES. SENSOR PLUS ANATOMIC</t>
  </si>
  <si>
    <t>ES. SENSOR PLUS DOTTED</t>
  </si>
  <si>
    <t>knop</t>
  </si>
  <si>
    <t>ES.E.F PASSIFLORA</t>
  </si>
  <si>
    <t xml:space="preserve">Rotura en el dobles de  Cartulina </t>
  </si>
  <si>
    <t xml:space="preserve">Manchas de agua </t>
  </si>
  <si>
    <t xml:space="preserve">Manchas parte trasera del estuche </t>
  </si>
  <si>
    <t xml:space="preserve">Por tono, manchas y descalce en el retiro </t>
  </si>
  <si>
    <t xml:space="preserve">Diferencia de tono </t>
  </si>
  <si>
    <t>Piojos  y Trama</t>
  </si>
  <si>
    <t xml:space="preserve">Manchas y piojos </t>
  </si>
  <si>
    <t xml:space="preserve">velo. Rotura al cerrar estuche, cambio de cartulina, diferencia de tono , rayas </t>
  </si>
  <si>
    <t xml:space="preserve">Prensa </t>
  </si>
  <si>
    <t>Siegfried</t>
  </si>
  <si>
    <t>ES. ORALNE 10 MG X 30 CAPS BIO NVO (030117000228)</t>
  </si>
  <si>
    <t>ES. QUERATOL 20 200 G (030113000771)</t>
  </si>
  <si>
    <t>Descalce de cuño</t>
  </si>
  <si>
    <t>Descalce cuño diferencia de tono letra</t>
  </si>
  <si>
    <t xml:space="preserve">Troquel </t>
  </si>
  <si>
    <t>ES. GLICENEX 500 MG X 30 CP VTA BQ</t>
  </si>
  <si>
    <t>Manchados y diferencia de tono</t>
  </si>
  <si>
    <t>Blunding</t>
  </si>
  <si>
    <t>ES. TOBILLERA ESTABILIZADORA C/BARRAS LATERALES (G5EMI123FRF26) 100% CERTIFICADO PEFC</t>
  </si>
  <si>
    <t>22368-3860</t>
  </si>
  <si>
    <t>22386-3873</t>
  </si>
  <si>
    <t>ES. EC.NASTIZOL X 14 CP VTA</t>
  </si>
  <si>
    <t>ES. B.PRESTAT 75MG X 40 CP MM</t>
  </si>
  <si>
    <t>ES.PG TRIPACK MANOS ESENCIAL 70G NAV26 100% CERTIFICADO PEFC</t>
  </si>
  <si>
    <t>ES. NASTIZOL X 14 CP VTA</t>
  </si>
  <si>
    <t>ES. EC.TENVALIN FLU FORTE 2 CP REC MM</t>
  </si>
  <si>
    <t>ES. URODIAL 200 MG X 10 CP VTA</t>
  </si>
  <si>
    <t>ES. EC.GLEMAZ 4MG X 2 CP MM</t>
  </si>
  <si>
    <t>ES. GEL BENTL OMG 50g NUEVA IMAGEN</t>
  </si>
  <si>
    <t>ES. BAGOMICINA 100 MG X 15 CP VTA</t>
  </si>
  <si>
    <t>ES. MICOSET 250 MG X 28 CP VTA BQ 100% CERTIFICADO PEFC</t>
  </si>
  <si>
    <t>LABORATORIOS DENTAID S.A.</t>
  </si>
  <si>
    <t>ES. VITIS MEDIO ED.ESPEC (1005331)</t>
  </si>
  <si>
    <t>DPS CHILE COMERCIAL LTDA.</t>
  </si>
  <si>
    <t>BJ. PORTA HOTDOG PRONTO COPEC 17CM (1x1000) (712944) 100% CERTIFICADO PEFC</t>
  </si>
  <si>
    <t>EMPRESAS AQUACHILE S.A.</t>
  </si>
  <si>
    <t>ES. AQ AQUA CUBOS SALMON ATLANTICO CL (3200023554)</t>
  </si>
  <si>
    <t>FJ. AQ AQUA SALMON COHO CON PIEL CL</t>
  </si>
  <si>
    <t>Piojo cara principal</t>
  </si>
  <si>
    <t>Manchas y diferencia de tono</t>
  </si>
  <si>
    <t>Manchas cara principal y diferencia de tono</t>
  </si>
  <si>
    <t xml:space="preserve">Marcas y manchas </t>
  </si>
  <si>
    <t>Diferencia de  tono</t>
  </si>
  <si>
    <t>ROTURAS COSTADO LATERAL DEL PEGADO..</t>
  </si>
  <si>
    <t>PEGADO DEBIL..REVISAR 4 PUNTOS</t>
  </si>
  <si>
    <t>Reventon de cartulina , diferencia de tono en retiro , exceso de adhesivo, plisado.</t>
  </si>
  <si>
    <t xml:space="preserve"> PEGADO..SOBRESALIENDO ALETA DE PEGADO, DIFERENCIA DE TONOS..</t>
  </si>
  <si>
    <t xml:space="preserve">Durante la inspección visual del material EST SERUM NIACINAMIDA 28 ML Glow Up 10%, se detecta diferencia de tonalidad en el color del estuche en comparación con el estándar aprobado.
El material recibido presenta un tono más oscuro y con menor luminosidad respecto al estándar vigente, el cual posee un color más claro y acorde a la referencia aprobada por Diseño.
La desviación es perceptible a simple vista bajo condiciones normales de iluminación es por esto el material queda rechazado.
</t>
  </si>
  <si>
    <t>COTIZACION</t>
  </si>
  <si>
    <t>DIMENSIONADO</t>
  </si>
  <si>
    <t>FOLIA</t>
  </si>
  <si>
    <t>TERMOFORMADO</t>
  </si>
  <si>
    <t>TERMOLAMINADO</t>
  </si>
  <si>
    <t>UNILEVER</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</si>
</sst>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6" formatCode="dd\-mm\-yyyy"/>
  </numFmts>
  <fonts count="6" x14ac:knownFonts="1">
    <font>
      <sz val="11"/>
      <color theme="1"/>
      <name val="Calibri"/>
      <family val="2"/>
      <charset val="1"/>
    </font>
    <font>
      <b/>
      <sz val="10"/>
      <color rgb="FFFFFFFF"/>
      <name val="Calibri"/>
      <charset val="1"/>
    </font>
    <font>
      <sz val="9"/>
      <color rgb="FF000000"/>
      <name val="Calibri"/>
      <charset val="1"/>
    </font>
    <font>
      <b/>
      <sz val="9"/>
      <color rgb="FFFF0000"/>
      <name val="Calibri"/>
      <family val="2"/>
    </font>
    <font>
      <sz val="9"/>
      <color rgb="FF000000"/>
      <name val="Calibri"/>
      <family val="2"/>
    </font>
    <font>
      <sz val="8"/>
      <color theme="1"/>
      <name val="Calibri"/>
      <family val="2"/>
    </font>
  </fonts>
  <fills count="9">
    <fill>
      <patternFill patternType="none"/>
    </fill>
    <fill>
      <patternFill patternType="gray125"/>
    </fill>
    <fill>
      <patternFill patternType="solid">
        <fgColor rgb="FF1F3A5F"/>
        <bgColor rgb="FF333399"/>
      </patternFill>
    </fill>
    <fill>
      <patternFill patternType="solid">
        <fgColor rgb="FFF2F2F2"/>
        <bgColor rgb="FFEAF1F7"/>
      </patternFill>
    </fill>
    <fill>
      <patternFill patternType="solid">
        <fgColor rgb="FFFFFF00"/>
        <bgColor rgb="FFEAF1F7"/>
      </patternFill>
    </fill>
    <fill>
      <patternFill patternType="solid">
        <fgColor rgb="FFFFFF00"/>
        <bgColor indexed="64"/>
      </patternFill>
    </fill>
    <fill>
      <patternFill patternType="solid">
        <fgColor theme="0"/>
        <bgColor indexed="64"/>
      </patternFill>
    </fill>
    <fill>
      <patternFill patternType="solid">
        <fgColor rgb="FF92D050"/>
        <bgColor indexed="64"/>
      </patternFill>
    </fill>
    <fill>
      <patternFill patternType="solid">
        <fgColor rgb="FF92D050"/>
        <bgColor rgb="FFEAF1F7"/>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7">
    <xf numFmtId="0" fontId="0" fillId="0" borderId="0" xfId="0"/>
    <xf numFmtId="3" fontId="2" fillId="3" borderId="1" xfId="0" applyNumberFormat="1" applyFont="1" applyFill="1" applyBorder="1" applyAlignment="1">
      <alignment horizontal="right" vertical="center"/>
    </xf>
    <xf numFmtId="3" fontId="2" fillId="0" borderId="1" xfId="0" applyNumberFormat="1" applyFont="1" applyBorder="1" applyAlignment="1">
      <alignment horizontal="right" vertical="center"/>
    </xf>
    <xf numFmtId="0" fontId="1" fillId="2" borderId="1" xfId="0" applyFont="1" applyFill="1" applyBorder="1" applyAlignment="1">
      <alignment horizontal="center" vertical="center"/>
    </xf>
    <xf numFmtId="0" fontId="0" fillId="0" borderId="0" xfId="0" applyAlignment="1"/>
    <xf numFmtId="0" fontId="2" fillId="3" borderId="1" xfId="0" applyFont="1" applyFill="1" applyBorder="1" applyAlignment="1">
      <alignment horizontal="center" vertical="center"/>
    </xf>
    <xf numFmtId="166" fontId="2" fillId="3" borderId="1" xfId="0" applyNumberFormat="1" applyFont="1" applyFill="1" applyBorder="1" applyAlignment="1">
      <alignment horizontal="center" vertical="center"/>
    </xf>
    <xf numFmtId="0" fontId="2" fillId="3" borderId="1" xfId="0" applyFont="1" applyFill="1" applyBorder="1" applyAlignment="1">
      <alignment horizontal="left" vertical="center"/>
    </xf>
    <xf numFmtId="164" fontId="2" fillId="3" borderId="1" xfId="0" applyNumberFormat="1" applyFont="1" applyFill="1" applyBorder="1" applyAlignment="1">
      <alignment horizontal="center" vertical="center"/>
    </xf>
    <xf numFmtId="0" fontId="2" fillId="0" borderId="1" xfId="0" applyFont="1" applyBorder="1" applyAlignment="1">
      <alignment horizontal="center" vertical="center"/>
    </xf>
    <xf numFmtId="166" fontId="2" fillId="0" borderId="1" xfId="0" applyNumberFormat="1" applyFont="1" applyBorder="1" applyAlignment="1">
      <alignment horizontal="center" vertical="center"/>
    </xf>
    <xf numFmtId="0" fontId="2" fillId="0" borderId="1" xfId="0" applyFont="1" applyBorder="1" applyAlignment="1">
      <alignment horizontal="left" vertical="center"/>
    </xf>
    <xf numFmtId="164" fontId="2" fillId="0" borderId="1" xfId="0" applyNumberFormat="1" applyFont="1" applyBorder="1" applyAlignment="1">
      <alignment horizontal="center" vertical="center"/>
    </xf>
    <xf numFmtId="1" fontId="1" fillId="2" borderId="1" xfId="0" applyNumberFormat="1" applyFont="1" applyFill="1" applyBorder="1" applyAlignment="1">
      <alignment horizontal="center" vertical="center"/>
    </xf>
    <xf numFmtId="1" fontId="2" fillId="3" borderId="1" xfId="0" applyNumberFormat="1" applyFont="1" applyFill="1" applyBorder="1" applyAlignment="1">
      <alignment horizontal="left" vertical="center"/>
    </xf>
    <xf numFmtId="1" fontId="2" fillId="0" borderId="1" xfId="0" applyNumberFormat="1" applyFont="1" applyBorder="1" applyAlignment="1">
      <alignment horizontal="left" vertical="center"/>
    </xf>
    <xf numFmtId="1" fontId="0" fillId="0" borderId="0" xfId="0" applyNumberFormat="1" applyAlignment="1"/>
    <xf numFmtId="0" fontId="1" fillId="2" borderId="1" xfId="0" applyFont="1" applyFill="1" applyBorder="1" applyAlignment="1">
      <alignment horizontal="left" vertical="center"/>
    </xf>
    <xf numFmtId="3" fontId="2" fillId="0" borderId="1" xfId="0" applyNumberFormat="1" applyFont="1" applyBorder="1" applyAlignment="1">
      <alignment horizontal="left" vertical="center"/>
    </xf>
    <xf numFmtId="0" fontId="0" fillId="0" borderId="0" xfId="0" applyAlignment="1">
      <alignment horizontal="left"/>
    </xf>
    <xf numFmtId="0" fontId="2" fillId="4" borderId="1" xfId="0" applyFont="1" applyFill="1" applyBorder="1" applyAlignment="1">
      <alignment horizontal="center" vertical="center"/>
    </xf>
    <xf numFmtId="166" fontId="2" fillId="4" borderId="1" xfId="0" applyNumberFormat="1" applyFont="1" applyFill="1" applyBorder="1" applyAlignment="1">
      <alignment horizontal="center" vertical="center"/>
    </xf>
    <xf numFmtId="0" fontId="2" fillId="4" borderId="1" xfId="0" applyFont="1" applyFill="1" applyBorder="1" applyAlignment="1">
      <alignment horizontal="left" vertical="center"/>
    </xf>
    <xf numFmtId="3" fontId="2" fillId="4" borderId="1" xfId="0" applyNumberFormat="1" applyFont="1" applyFill="1" applyBorder="1" applyAlignment="1">
      <alignment horizontal="right" vertical="center"/>
    </xf>
    <xf numFmtId="164" fontId="2" fillId="4" borderId="1" xfId="0" applyNumberFormat="1" applyFont="1" applyFill="1" applyBorder="1" applyAlignment="1">
      <alignment horizontal="center" vertical="center"/>
    </xf>
    <xf numFmtId="0" fontId="0" fillId="5" borderId="0" xfId="0" applyFill="1" applyAlignment="1"/>
    <xf numFmtId="0" fontId="2" fillId="5" borderId="1" xfId="0" applyFont="1" applyFill="1" applyBorder="1" applyAlignment="1">
      <alignment horizontal="center" vertical="center"/>
    </xf>
    <xf numFmtId="166" fontId="2" fillId="5" borderId="1" xfId="0" applyNumberFormat="1" applyFont="1" applyFill="1" applyBorder="1" applyAlignment="1">
      <alignment horizontal="center" vertical="center"/>
    </xf>
    <xf numFmtId="0" fontId="2" fillId="5" borderId="1" xfId="0" applyFont="1" applyFill="1" applyBorder="1" applyAlignment="1">
      <alignment horizontal="left" vertical="center"/>
    </xf>
    <xf numFmtId="3" fontId="2" fillId="5" borderId="1" xfId="0" applyNumberFormat="1" applyFont="1" applyFill="1" applyBorder="1" applyAlignment="1">
      <alignment horizontal="right" vertical="center"/>
    </xf>
    <xf numFmtId="164" fontId="2" fillId="5" borderId="1" xfId="0" applyNumberFormat="1" applyFont="1" applyFill="1" applyBorder="1" applyAlignment="1">
      <alignment horizontal="center" vertical="center"/>
    </xf>
    <xf numFmtId="3" fontId="3" fillId="4" borderId="1" xfId="0" applyNumberFormat="1" applyFont="1" applyFill="1" applyBorder="1" applyAlignment="1">
      <alignment horizontal="right" vertical="center"/>
    </xf>
    <xf numFmtId="1" fontId="2" fillId="4" borderId="1" xfId="0" applyNumberFormat="1" applyFont="1" applyFill="1" applyBorder="1" applyAlignment="1">
      <alignment horizontal="left" vertical="center"/>
    </xf>
    <xf numFmtId="1" fontId="2" fillId="5" borderId="1" xfId="0" applyNumberFormat="1" applyFont="1" applyFill="1" applyBorder="1" applyAlignment="1">
      <alignment horizontal="left" vertical="center"/>
    </xf>
    <xf numFmtId="0" fontId="4" fillId="4" borderId="1" xfId="0" applyFont="1" applyFill="1" applyBorder="1" applyAlignment="1">
      <alignment horizontal="center" vertical="center"/>
    </xf>
    <xf numFmtId="0" fontId="2" fillId="6" borderId="1" xfId="0" applyFont="1" applyFill="1" applyBorder="1" applyAlignment="1">
      <alignment horizontal="center" vertical="center"/>
    </xf>
    <xf numFmtId="166" fontId="2" fillId="6" borderId="1" xfId="0" applyNumberFormat="1" applyFont="1" applyFill="1" applyBorder="1" applyAlignment="1">
      <alignment horizontal="center" vertical="center"/>
    </xf>
    <xf numFmtId="0" fontId="2" fillId="6" borderId="1" xfId="0" applyFont="1" applyFill="1" applyBorder="1" applyAlignment="1">
      <alignment horizontal="left" vertical="center"/>
    </xf>
    <xf numFmtId="3" fontId="2" fillId="6" borderId="1" xfId="0" applyNumberFormat="1" applyFont="1" applyFill="1" applyBorder="1" applyAlignment="1">
      <alignment horizontal="right" vertical="center"/>
    </xf>
    <xf numFmtId="164" fontId="2" fillId="6" borderId="1" xfId="0" applyNumberFormat="1" applyFont="1" applyFill="1" applyBorder="1" applyAlignment="1">
      <alignment horizontal="center" vertical="center"/>
    </xf>
    <xf numFmtId="0" fontId="0" fillId="6" borderId="0" xfId="0" applyFill="1" applyAlignment="1"/>
    <xf numFmtId="0" fontId="2" fillId="7" borderId="1" xfId="0" applyFont="1" applyFill="1" applyBorder="1" applyAlignment="1">
      <alignment horizontal="center" vertical="center"/>
    </xf>
    <xf numFmtId="166" fontId="2" fillId="7" borderId="1" xfId="0" applyNumberFormat="1" applyFont="1" applyFill="1" applyBorder="1" applyAlignment="1">
      <alignment horizontal="center" vertical="center"/>
    </xf>
    <xf numFmtId="0" fontId="2" fillId="7" borderId="1" xfId="0" applyFont="1" applyFill="1" applyBorder="1" applyAlignment="1">
      <alignment horizontal="left" vertical="center"/>
    </xf>
    <xf numFmtId="3" fontId="2" fillId="7" borderId="1" xfId="0" applyNumberFormat="1" applyFont="1" applyFill="1" applyBorder="1" applyAlignment="1">
      <alignment horizontal="right" vertical="center"/>
    </xf>
    <xf numFmtId="164" fontId="2" fillId="7" borderId="1" xfId="0" applyNumberFormat="1" applyFont="1" applyFill="1" applyBorder="1" applyAlignment="1">
      <alignment horizontal="center" vertical="center"/>
    </xf>
    <xf numFmtId="0" fontId="0" fillId="7" borderId="0" xfId="0" applyFill="1" applyAlignment="1"/>
    <xf numFmtId="1" fontId="2" fillId="7" borderId="1" xfId="0" applyNumberFormat="1" applyFont="1" applyFill="1" applyBorder="1" applyAlignment="1">
      <alignment horizontal="left" vertical="center"/>
    </xf>
    <xf numFmtId="0" fontId="2" fillId="8" borderId="1" xfId="0" applyFont="1" applyFill="1" applyBorder="1" applyAlignment="1">
      <alignment horizontal="center" vertical="center"/>
    </xf>
    <xf numFmtId="1" fontId="2" fillId="8" borderId="1" xfId="0" applyNumberFormat="1" applyFont="1" applyFill="1" applyBorder="1" applyAlignment="1">
      <alignment horizontal="left" vertical="center"/>
    </xf>
    <xf numFmtId="0" fontId="4" fillId="8" borderId="1" xfId="0" applyFont="1" applyFill="1" applyBorder="1" applyAlignment="1">
      <alignment horizontal="center" vertical="center"/>
    </xf>
    <xf numFmtId="166" fontId="2" fillId="8" borderId="1" xfId="0" applyNumberFormat="1" applyFont="1" applyFill="1" applyBorder="1" applyAlignment="1">
      <alignment horizontal="center" vertical="center"/>
    </xf>
    <xf numFmtId="0" fontId="2" fillId="8" borderId="1" xfId="0" applyFont="1" applyFill="1" applyBorder="1" applyAlignment="1">
      <alignment horizontal="left" vertical="center"/>
    </xf>
    <xf numFmtId="3" fontId="2" fillId="8" borderId="1" xfId="0" applyNumberFormat="1" applyFont="1" applyFill="1" applyBorder="1" applyAlignment="1">
      <alignment horizontal="right" vertical="center"/>
    </xf>
    <xf numFmtId="164" fontId="2" fillId="8" borderId="1" xfId="0" applyNumberFormat="1" applyFont="1" applyFill="1" applyBorder="1" applyAlignment="1">
      <alignment horizontal="center" vertical="center"/>
    </xf>
    <xf numFmtId="0" fontId="4" fillId="3" borderId="1" xfId="0" applyFont="1" applyFill="1" applyBorder="1" applyAlignment="1">
      <alignment horizontal="center" vertical="center"/>
    </xf>
    <xf numFmtId="0" fontId="5" fillId="0" borderId="2" xfId="0" applyFont="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2E7D32"/>
      <rgbColor rgb="FF000080"/>
      <rgbColor rgb="FF548235"/>
      <rgbColor rgb="FF800080"/>
      <rgbColor rgb="FF008080"/>
      <rgbColor rgb="FFBFBFBF"/>
      <rgbColor rgb="FF878787"/>
      <rgbColor rgb="FF9999FF"/>
      <rgbColor rgb="FFBE4B48"/>
      <rgbColor rgb="FFF2F2F2"/>
      <rgbColor rgb="FFEAF1F7"/>
      <rgbColor rgb="FF660066"/>
      <rgbColor rgb="FFFF8080"/>
      <rgbColor rgb="FF4A7EBB"/>
      <rgbColor rgb="FFD9D9D9"/>
      <rgbColor rgb="FF000080"/>
      <rgbColor rgb="FFFF00FF"/>
      <rgbColor rgb="FFFFFF00"/>
      <rgbColor rgb="FF00FFFF"/>
      <rgbColor rgb="FF800080"/>
      <rgbColor rgb="FF800000"/>
      <rgbColor rgb="FF008080"/>
      <rgbColor rgb="FF0000FF"/>
      <rgbColor rgb="FF00CCFF"/>
      <rgbColor rgb="FFC6E0B4"/>
      <rgbColor rgb="FFC6EFCE"/>
      <rgbColor rgb="FFFFE699"/>
      <rgbColor rgb="FF99CCFF"/>
      <rgbColor rgb="FFFF99CC"/>
      <rgbColor rgb="FFCC99FF"/>
      <rgbColor rgb="FFF8CBAD"/>
      <rgbColor rgb="FF2E75B6"/>
      <rgbColor rgb="FF33CCCC"/>
      <rgbColor rgb="FF9BBB59"/>
      <rgbColor rgb="FFFFCC00"/>
      <rgbColor rgb="FFBF9000"/>
      <rgbColor rgb="FFC55A11"/>
      <rgbColor rgb="FF8064A2"/>
      <rgbColor rgb="FF4F81BD"/>
      <rgbColor rgb="FF1F3A5F"/>
      <rgbColor rgb="FF2E8B8B"/>
      <rgbColor rgb="FF003300"/>
      <rgbColor rgb="FF333300"/>
      <rgbColor rgb="FFC0504D"/>
      <rgbColor rgb="FF7030A0"/>
      <rgbColor rgb="FF333399"/>
      <rgbColor rgb="FF595959"/>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F3A5F"/>
  </sheetPr>
  <dimension ref="A1:AC247"/>
  <sheetViews>
    <sheetView tabSelected="1" zoomScale="85" zoomScaleNormal="85" workbookViewId="0">
      <pane ySplit="1" topLeftCell="A8" activePane="bottomLeft" state="frozen"/>
      <selection pane="bottomLeft" activeCell="L31" sqref="L31"/>
    </sheetView>
  </sheetViews>
  <sheetFormatPr baseColWidth="10" defaultColWidth="8.7109375" defaultRowHeight="15" x14ac:dyDescent="0.25"/>
  <cols>
    <col min="1" max="1" width="6" style="4" customWidth="1"/>
    <col min="2" max="2" width="11" style="4" customWidth="1"/>
    <col min="3" max="3" width="6" style="4" customWidth="1"/>
    <col min="4" max="4" width="14" style="4" customWidth="1"/>
    <col min="5" max="5" width="13" style="4" customWidth="1"/>
    <col min="6" max="6" width="9" style="4" customWidth="1"/>
    <col min="7" max="7" width="16" style="4" customWidth="1"/>
    <col min="8" max="8" width="15" style="16" customWidth="1"/>
    <col min="9" max="9" width="30" style="19" customWidth="1"/>
    <col min="10" max="13" width="13" style="4" customWidth="1"/>
    <col min="14" max="14" width="9" style="4" customWidth="1"/>
    <col min="15" max="15" width="13" style="4" customWidth="1"/>
    <col min="16" max="16" width="34" style="4" customWidth="1"/>
    <col min="17" max="17" width="53" style="4" bestFit="1" customWidth="1"/>
    <col min="18" max="18" width="12" style="4" customWidth="1"/>
    <col min="19" max="19" width="22" style="4" customWidth="1"/>
    <col min="20" max="23" width="16" style="4" customWidth="1"/>
    <col min="24" max="24" width="14" style="4" customWidth="1"/>
    <col min="25" max="25" width="12" style="4" customWidth="1"/>
    <col min="26" max="26" width="26" style="4" customWidth="1"/>
    <col min="27" max="29" width="30" style="4" customWidth="1"/>
    <col min="30" max="16384" width="8.7109375" style="4"/>
  </cols>
  <sheetData>
    <row r="1" spans="1:29" x14ac:dyDescent="0.25">
      <c r="A1" s="3" t="s">
        <v>92</v>
      </c>
      <c r="B1" s="3" t="s">
        <v>0</v>
      </c>
      <c r="C1" s="3" t="s">
        <v>93</v>
      </c>
      <c r="D1" s="3" t="s">
        <v>94</v>
      </c>
      <c r="E1" s="3" t="s">
        <v>95</v>
      </c>
      <c r="F1" s="3" t="s">
        <v>96</v>
      </c>
      <c r="G1" s="3" t="s">
        <v>97</v>
      </c>
      <c r="H1" s="13" t="s">
        <v>98</v>
      </c>
      <c r="I1" s="17" t="s">
        <v>99</v>
      </c>
      <c r="J1" s="3" t="s">
        <v>100</v>
      </c>
      <c r="K1" s="3" t="s">
        <v>1</v>
      </c>
      <c r="L1" s="3" t="s">
        <v>2</v>
      </c>
      <c r="M1" s="3" t="s">
        <v>101</v>
      </c>
      <c r="N1" s="3" t="s">
        <v>3</v>
      </c>
      <c r="O1" s="3" t="s">
        <v>102</v>
      </c>
      <c r="P1" s="3" t="s">
        <v>103</v>
      </c>
      <c r="Q1" s="3" t="s">
        <v>104</v>
      </c>
      <c r="R1" s="3" t="s">
        <v>105</v>
      </c>
      <c r="S1" s="3" t="s">
        <v>106</v>
      </c>
      <c r="T1" s="3" t="s">
        <v>107</v>
      </c>
      <c r="U1" s="3" t="s">
        <v>108</v>
      </c>
      <c r="V1" s="3" t="s">
        <v>109</v>
      </c>
      <c r="W1" s="3" t="s">
        <v>110</v>
      </c>
      <c r="X1" s="3" t="s">
        <v>111</v>
      </c>
      <c r="Y1" s="3" t="s">
        <v>112</v>
      </c>
      <c r="Z1" s="3" t="s">
        <v>113</v>
      </c>
      <c r="AA1" s="3" t="s">
        <v>114</v>
      </c>
      <c r="AB1" s="3" t="s">
        <v>115</v>
      </c>
      <c r="AC1" s="3" t="s">
        <v>116</v>
      </c>
    </row>
    <row r="2" spans="1:29" ht="14.45" customHeight="1" x14ac:dyDescent="0.25">
      <c r="A2" s="5">
        <v>11</v>
      </c>
      <c r="B2" s="5" t="s">
        <v>4</v>
      </c>
      <c r="C2" s="7">
        <v>1</v>
      </c>
      <c r="D2" s="5" t="s">
        <v>13</v>
      </c>
      <c r="E2" s="6">
        <v>46024</v>
      </c>
      <c r="F2" s="5" t="s">
        <v>163</v>
      </c>
      <c r="G2" s="7" t="s">
        <v>57</v>
      </c>
      <c r="H2" s="14" t="s">
        <v>164</v>
      </c>
      <c r="I2" s="7" t="s">
        <v>165</v>
      </c>
      <c r="J2" s="1">
        <v>5000</v>
      </c>
      <c r="K2" s="1">
        <v>4875</v>
      </c>
      <c r="L2" s="1">
        <v>4875</v>
      </c>
      <c r="M2" s="1">
        <v>0</v>
      </c>
      <c r="N2" s="8">
        <f t="shared" ref="N2:N35" si="0">IFERROR(L2/K2,"")</f>
        <v>1</v>
      </c>
      <c r="O2" s="6">
        <v>46024</v>
      </c>
      <c r="P2" s="7" t="s">
        <v>166</v>
      </c>
      <c r="Q2" s="7" t="s">
        <v>14</v>
      </c>
      <c r="R2" s="5" t="s">
        <v>26</v>
      </c>
      <c r="S2" s="7" t="s">
        <v>11</v>
      </c>
      <c r="T2" s="7" t="s">
        <v>12</v>
      </c>
      <c r="U2" s="7" t="s">
        <v>83</v>
      </c>
      <c r="V2" s="7" t="s">
        <v>167</v>
      </c>
      <c r="W2" s="7" t="s">
        <v>168</v>
      </c>
      <c r="X2" s="7" t="s">
        <v>169</v>
      </c>
      <c r="Y2" s="5" t="s">
        <v>122</v>
      </c>
      <c r="Z2" s="7"/>
      <c r="AA2" s="7"/>
      <c r="AB2" s="7"/>
      <c r="AC2" s="7"/>
    </row>
    <row r="3" spans="1:29" ht="14.45" customHeight="1" x14ac:dyDescent="0.25">
      <c r="A3" s="9">
        <v>12</v>
      </c>
      <c r="B3" s="9" t="s">
        <v>4</v>
      </c>
      <c r="C3" s="11">
        <v>1</v>
      </c>
      <c r="D3" s="9" t="s">
        <v>10</v>
      </c>
      <c r="E3" s="10">
        <v>46029</v>
      </c>
      <c r="F3" s="9" t="s">
        <v>170</v>
      </c>
      <c r="G3" s="11" t="s">
        <v>39</v>
      </c>
      <c r="H3" s="11" t="s">
        <v>171</v>
      </c>
      <c r="I3" s="11" t="s">
        <v>172</v>
      </c>
      <c r="J3" s="2">
        <v>110000</v>
      </c>
      <c r="K3" s="2">
        <v>109207</v>
      </c>
      <c r="L3" s="2">
        <v>109190</v>
      </c>
      <c r="M3" s="2">
        <v>17</v>
      </c>
      <c r="N3" s="12">
        <f t="shared" si="0"/>
        <v>0.99984433232301961</v>
      </c>
      <c r="O3" s="10">
        <v>45997</v>
      </c>
      <c r="P3" s="11" t="s">
        <v>173</v>
      </c>
      <c r="Q3" s="11" t="s">
        <v>37</v>
      </c>
      <c r="R3" s="9" t="s">
        <v>23</v>
      </c>
      <c r="S3" s="11" t="s">
        <v>75</v>
      </c>
      <c r="T3" s="11" t="s">
        <v>12</v>
      </c>
      <c r="U3" s="11" t="s">
        <v>174</v>
      </c>
      <c r="V3" s="11" t="s">
        <v>175</v>
      </c>
      <c r="W3" s="11" t="s">
        <v>168</v>
      </c>
      <c r="X3" s="11" t="s">
        <v>176</v>
      </c>
      <c r="Y3" s="9" t="s">
        <v>122</v>
      </c>
      <c r="Z3" s="11" t="s">
        <v>177</v>
      </c>
      <c r="AA3" s="11" t="s">
        <v>178</v>
      </c>
      <c r="AB3" s="11" t="s">
        <v>179</v>
      </c>
      <c r="AC3" s="11" t="s">
        <v>180</v>
      </c>
    </row>
    <row r="4" spans="1:29" ht="14.45" customHeight="1" x14ac:dyDescent="0.25">
      <c r="A4" s="5">
        <v>13</v>
      </c>
      <c r="B4" s="5" t="s">
        <v>4</v>
      </c>
      <c r="C4" s="7">
        <v>1</v>
      </c>
      <c r="D4" s="5" t="s">
        <v>15</v>
      </c>
      <c r="E4" s="6">
        <v>46029</v>
      </c>
      <c r="F4" s="5" t="s">
        <v>181</v>
      </c>
      <c r="G4" s="7" t="s">
        <v>61</v>
      </c>
      <c r="H4" s="7" t="s">
        <v>124</v>
      </c>
      <c r="I4" s="7" t="s">
        <v>125</v>
      </c>
      <c r="J4" s="1">
        <v>190100</v>
      </c>
      <c r="K4" s="1">
        <v>0</v>
      </c>
      <c r="L4" s="1"/>
      <c r="M4" s="1">
        <v>0</v>
      </c>
      <c r="N4" s="8" t="str">
        <f t="shared" si="0"/>
        <v/>
      </c>
      <c r="O4" s="6">
        <v>45967</v>
      </c>
      <c r="P4" s="7" t="s">
        <v>182</v>
      </c>
      <c r="Q4" s="7" t="s">
        <v>18</v>
      </c>
      <c r="R4" s="5" t="s">
        <v>23</v>
      </c>
      <c r="S4" s="7" t="s">
        <v>76</v>
      </c>
      <c r="T4" s="7" t="s">
        <v>25</v>
      </c>
      <c r="U4" s="7" t="s">
        <v>89</v>
      </c>
      <c r="V4" s="7" t="s">
        <v>183</v>
      </c>
      <c r="W4" s="7" t="s">
        <v>184</v>
      </c>
      <c r="X4" s="7"/>
      <c r="Y4" s="5" t="s">
        <v>122</v>
      </c>
      <c r="Z4" s="7" t="s">
        <v>177</v>
      </c>
      <c r="AA4" s="7" t="s">
        <v>185</v>
      </c>
      <c r="AB4" s="7" t="s">
        <v>186</v>
      </c>
      <c r="AC4" s="7" t="s">
        <v>187</v>
      </c>
    </row>
    <row r="5" spans="1:29" ht="14.45" customHeight="1" x14ac:dyDescent="0.25">
      <c r="A5" s="9">
        <v>14</v>
      </c>
      <c r="B5" s="9" t="s">
        <v>4</v>
      </c>
      <c r="C5" s="11">
        <v>1</v>
      </c>
      <c r="D5" s="9" t="s">
        <v>10</v>
      </c>
      <c r="E5" s="10">
        <v>46029</v>
      </c>
      <c r="F5" s="9" t="s">
        <v>188</v>
      </c>
      <c r="G5" s="11" t="s">
        <v>1239</v>
      </c>
      <c r="H5" s="11" t="s">
        <v>189</v>
      </c>
      <c r="I5" s="11" t="s">
        <v>190</v>
      </c>
      <c r="J5" s="2">
        <v>53000</v>
      </c>
      <c r="K5" s="2">
        <v>45800</v>
      </c>
      <c r="L5" s="2">
        <v>43600</v>
      </c>
      <c r="M5" s="2">
        <v>2200</v>
      </c>
      <c r="N5" s="12">
        <f t="shared" si="0"/>
        <v>0.95196506550218341</v>
      </c>
      <c r="O5" s="10">
        <v>45947</v>
      </c>
      <c r="P5" s="11" t="s">
        <v>191</v>
      </c>
      <c r="Q5" s="11" t="s">
        <v>18</v>
      </c>
      <c r="R5" s="9" t="s">
        <v>23</v>
      </c>
      <c r="S5" s="11" t="s">
        <v>11</v>
      </c>
      <c r="T5" s="11" t="s">
        <v>22</v>
      </c>
      <c r="U5" s="11" t="s">
        <v>192</v>
      </c>
      <c r="V5" s="11" t="s">
        <v>193</v>
      </c>
      <c r="W5" s="11" t="s">
        <v>194</v>
      </c>
      <c r="X5" s="11" t="s">
        <v>169</v>
      </c>
      <c r="Y5" s="9" t="s">
        <v>122</v>
      </c>
      <c r="Z5" s="11" t="s">
        <v>195</v>
      </c>
      <c r="AA5" s="11" t="s">
        <v>196</v>
      </c>
      <c r="AB5" s="11" t="s">
        <v>197</v>
      </c>
      <c r="AC5" s="11" t="s">
        <v>198</v>
      </c>
    </row>
    <row r="6" spans="1:29" ht="14.45" customHeight="1" x14ac:dyDescent="0.25">
      <c r="A6" s="5">
        <v>15</v>
      </c>
      <c r="B6" s="5" t="s">
        <v>4</v>
      </c>
      <c r="C6" s="7">
        <v>1</v>
      </c>
      <c r="D6" s="5" t="s">
        <v>13</v>
      </c>
      <c r="E6" s="6">
        <v>46030</v>
      </c>
      <c r="F6" s="5" t="s">
        <v>199</v>
      </c>
      <c r="G6" s="11" t="s">
        <v>42</v>
      </c>
      <c r="H6" s="14" t="s">
        <v>200</v>
      </c>
      <c r="I6" s="7" t="s">
        <v>201</v>
      </c>
      <c r="J6" s="1">
        <v>8200</v>
      </c>
      <c r="K6" s="1">
        <v>8200</v>
      </c>
      <c r="L6" s="1">
        <v>8000</v>
      </c>
      <c r="M6" s="1">
        <v>200</v>
      </c>
      <c r="N6" s="8">
        <f t="shared" si="0"/>
        <v>0.97560975609756095</v>
      </c>
      <c r="O6" s="6">
        <v>46008</v>
      </c>
      <c r="P6" s="7" t="s">
        <v>202</v>
      </c>
      <c r="Q6" s="7" t="s">
        <v>18</v>
      </c>
      <c r="R6" s="5" t="s">
        <v>23</v>
      </c>
      <c r="S6" s="7" t="s">
        <v>11</v>
      </c>
      <c r="T6" s="11" t="s">
        <v>22</v>
      </c>
      <c r="U6" s="7" t="s">
        <v>192</v>
      </c>
      <c r="V6" s="7" t="s">
        <v>203</v>
      </c>
      <c r="W6" s="7" t="s">
        <v>194</v>
      </c>
      <c r="X6" s="7" t="s">
        <v>169</v>
      </c>
      <c r="Y6" s="5" t="s">
        <v>122</v>
      </c>
      <c r="Z6" s="7"/>
      <c r="AA6" s="7" t="s">
        <v>196</v>
      </c>
      <c r="AB6" s="7" t="s">
        <v>197</v>
      </c>
      <c r="AC6" s="7"/>
    </row>
    <row r="7" spans="1:29" ht="14.45" customHeight="1" x14ac:dyDescent="0.25">
      <c r="A7" s="9">
        <v>16</v>
      </c>
      <c r="B7" s="9" t="s">
        <v>4</v>
      </c>
      <c r="C7" s="11">
        <v>1</v>
      </c>
      <c r="D7" s="9" t="s">
        <v>15</v>
      </c>
      <c r="E7" s="10">
        <v>46030</v>
      </c>
      <c r="F7" s="9" t="s">
        <v>204</v>
      </c>
      <c r="G7" s="11" t="s">
        <v>47</v>
      </c>
      <c r="H7" s="11" t="s">
        <v>205</v>
      </c>
      <c r="I7" s="11" t="s">
        <v>206</v>
      </c>
      <c r="J7" s="2">
        <v>12000</v>
      </c>
      <c r="K7" s="2">
        <v>12000</v>
      </c>
      <c r="L7" s="2">
        <v>12000</v>
      </c>
      <c r="M7" s="2">
        <v>0</v>
      </c>
      <c r="N7" s="12">
        <f t="shared" si="0"/>
        <v>1</v>
      </c>
      <c r="O7" s="10">
        <v>46003</v>
      </c>
      <c r="P7" s="11" t="s">
        <v>207</v>
      </c>
      <c r="Q7" s="11" t="s">
        <v>30</v>
      </c>
      <c r="R7" s="9" t="s">
        <v>29</v>
      </c>
      <c r="S7" s="11" t="s">
        <v>75</v>
      </c>
      <c r="T7" s="11" t="s">
        <v>49</v>
      </c>
      <c r="U7" s="11" t="s">
        <v>82</v>
      </c>
      <c r="V7" s="11"/>
      <c r="W7" s="11" t="s">
        <v>208</v>
      </c>
      <c r="X7" s="11"/>
      <c r="Y7" s="9" t="s">
        <v>122</v>
      </c>
      <c r="Z7" s="11" t="s">
        <v>209</v>
      </c>
      <c r="AA7" s="11" t="s">
        <v>210</v>
      </c>
      <c r="AB7" s="11" t="s">
        <v>211</v>
      </c>
      <c r="AC7" s="11"/>
    </row>
    <row r="8" spans="1:29" ht="14.45" customHeight="1" x14ac:dyDescent="0.25">
      <c r="A8" s="5">
        <v>17</v>
      </c>
      <c r="B8" s="5" t="s">
        <v>4</v>
      </c>
      <c r="C8" s="7">
        <v>1</v>
      </c>
      <c r="D8" s="5" t="s">
        <v>10</v>
      </c>
      <c r="E8" s="6">
        <v>46031</v>
      </c>
      <c r="F8" s="5" t="s">
        <v>212</v>
      </c>
      <c r="G8" s="7" t="s">
        <v>213</v>
      </c>
      <c r="H8" s="7" t="s">
        <v>214</v>
      </c>
      <c r="I8" s="7" t="s">
        <v>215</v>
      </c>
      <c r="J8" s="1">
        <v>4000</v>
      </c>
      <c r="K8" s="1">
        <v>4000</v>
      </c>
      <c r="L8" s="1">
        <v>2600</v>
      </c>
      <c r="M8" s="1">
        <v>1400</v>
      </c>
      <c r="N8" s="8">
        <f t="shared" si="0"/>
        <v>0.65</v>
      </c>
      <c r="O8" s="6">
        <v>45965</v>
      </c>
      <c r="P8" s="7" t="s">
        <v>216</v>
      </c>
      <c r="Q8" s="7" t="s">
        <v>24</v>
      </c>
      <c r="R8" s="5" t="s">
        <v>26</v>
      </c>
      <c r="S8" s="7" t="s">
        <v>11</v>
      </c>
      <c r="T8" s="7" t="s">
        <v>17</v>
      </c>
      <c r="U8" s="7" t="s">
        <v>85</v>
      </c>
      <c r="V8" s="7" t="s">
        <v>217</v>
      </c>
      <c r="W8" s="7" t="s">
        <v>218</v>
      </c>
      <c r="X8" s="7" t="s">
        <v>219</v>
      </c>
      <c r="Y8" s="5" t="s">
        <v>122</v>
      </c>
      <c r="Z8" s="7" t="s">
        <v>220</v>
      </c>
      <c r="AA8" s="7" t="s">
        <v>221</v>
      </c>
      <c r="AB8" s="7" t="s">
        <v>222</v>
      </c>
      <c r="AC8" s="7"/>
    </row>
    <row r="9" spans="1:29" ht="14.45" customHeight="1" x14ac:dyDescent="0.25">
      <c r="A9" s="9">
        <v>18</v>
      </c>
      <c r="B9" s="9" t="s">
        <v>4</v>
      </c>
      <c r="C9" s="11">
        <v>1</v>
      </c>
      <c r="D9" s="9" t="s">
        <v>10</v>
      </c>
      <c r="E9" s="10">
        <v>46034</v>
      </c>
      <c r="F9" s="9" t="s">
        <v>223</v>
      </c>
      <c r="G9" s="11" t="s">
        <v>224</v>
      </c>
      <c r="H9" s="11" t="s">
        <v>225</v>
      </c>
      <c r="I9" s="11" t="s">
        <v>226</v>
      </c>
      <c r="J9" s="2">
        <v>7500</v>
      </c>
      <c r="K9" s="2">
        <v>7800</v>
      </c>
      <c r="L9" s="2">
        <v>0</v>
      </c>
      <c r="M9" s="2">
        <v>7800</v>
      </c>
      <c r="N9" s="12">
        <f t="shared" si="0"/>
        <v>0</v>
      </c>
      <c r="O9" s="10">
        <v>45985</v>
      </c>
      <c r="P9" s="11" t="s">
        <v>227</v>
      </c>
      <c r="Q9" s="11" t="s">
        <v>43</v>
      </c>
      <c r="R9" s="9" t="s">
        <v>23</v>
      </c>
      <c r="S9" s="11" t="s">
        <v>11</v>
      </c>
      <c r="T9" s="11" t="s">
        <v>36</v>
      </c>
      <c r="U9" s="11" t="s">
        <v>82</v>
      </c>
      <c r="V9" s="11" t="s">
        <v>228</v>
      </c>
      <c r="W9" s="11" t="s">
        <v>229</v>
      </c>
      <c r="X9" s="11"/>
      <c r="Y9" s="9" t="s">
        <v>122</v>
      </c>
      <c r="Z9" s="11"/>
      <c r="AA9" s="11" t="s">
        <v>230</v>
      </c>
      <c r="AB9" s="11" t="s">
        <v>231</v>
      </c>
      <c r="AC9" s="11" t="s">
        <v>232</v>
      </c>
    </row>
    <row r="10" spans="1:29" ht="14.45" customHeight="1" x14ac:dyDescent="0.25">
      <c r="A10" s="5">
        <v>19</v>
      </c>
      <c r="B10" s="5" t="s">
        <v>4</v>
      </c>
      <c r="C10" s="7">
        <v>1</v>
      </c>
      <c r="D10" s="5" t="s">
        <v>10</v>
      </c>
      <c r="E10" s="6">
        <v>46036</v>
      </c>
      <c r="F10" s="5" t="s">
        <v>233</v>
      </c>
      <c r="G10" s="7" t="s">
        <v>39</v>
      </c>
      <c r="H10" s="7" t="s">
        <v>234</v>
      </c>
      <c r="I10" s="7" t="s">
        <v>235</v>
      </c>
      <c r="J10" s="1">
        <v>39000</v>
      </c>
      <c r="K10" s="1">
        <v>38500</v>
      </c>
      <c r="L10" s="1">
        <v>38500</v>
      </c>
      <c r="M10" s="1">
        <v>0</v>
      </c>
      <c r="N10" s="8">
        <f t="shared" si="0"/>
        <v>1</v>
      </c>
      <c r="O10" s="6">
        <v>46010</v>
      </c>
      <c r="P10" s="7" t="s">
        <v>236</v>
      </c>
      <c r="Q10" s="7" t="s">
        <v>37</v>
      </c>
      <c r="R10" s="5" t="s">
        <v>23</v>
      </c>
      <c r="S10" s="7" t="s">
        <v>76</v>
      </c>
      <c r="T10" s="7" t="s">
        <v>12</v>
      </c>
      <c r="U10" s="7" t="s">
        <v>174</v>
      </c>
      <c r="V10" s="7" t="s">
        <v>175</v>
      </c>
      <c r="W10" s="7" t="s">
        <v>168</v>
      </c>
      <c r="X10" s="7"/>
      <c r="Y10" s="5" t="s">
        <v>122</v>
      </c>
      <c r="Z10" s="7"/>
      <c r="AA10" s="7" t="s">
        <v>178</v>
      </c>
      <c r="AB10" s="7" t="s">
        <v>179</v>
      </c>
      <c r="AC10" s="7" t="s">
        <v>180</v>
      </c>
    </row>
    <row r="11" spans="1:29" ht="14.45" customHeight="1" x14ac:dyDescent="0.25">
      <c r="A11" s="9">
        <v>20</v>
      </c>
      <c r="B11" s="9" t="s">
        <v>4</v>
      </c>
      <c r="C11" s="11">
        <v>1</v>
      </c>
      <c r="D11" s="9" t="s">
        <v>15</v>
      </c>
      <c r="E11" s="10">
        <v>46036</v>
      </c>
      <c r="F11" s="9" t="s">
        <v>237</v>
      </c>
      <c r="G11" s="11" t="s">
        <v>39</v>
      </c>
      <c r="H11" s="11" t="s">
        <v>160</v>
      </c>
      <c r="I11" s="11" t="s">
        <v>161</v>
      </c>
      <c r="J11" s="2">
        <v>30000</v>
      </c>
      <c r="K11" s="2">
        <v>0</v>
      </c>
      <c r="L11" s="2"/>
      <c r="M11" s="2"/>
      <c r="N11" s="12" t="str">
        <f t="shared" si="0"/>
        <v/>
      </c>
      <c r="O11" s="10">
        <v>45850</v>
      </c>
      <c r="P11" s="11" t="s">
        <v>238</v>
      </c>
      <c r="Q11" s="11" t="s">
        <v>14</v>
      </c>
      <c r="R11" s="9" t="s">
        <v>26</v>
      </c>
      <c r="S11" s="11" t="s">
        <v>76</v>
      </c>
      <c r="T11" s="11" t="s">
        <v>12</v>
      </c>
      <c r="U11" s="11" t="s">
        <v>83</v>
      </c>
      <c r="V11" s="11" t="s">
        <v>239</v>
      </c>
      <c r="W11" s="11" t="s">
        <v>168</v>
      </c>
      <c r="X11" s="11"/>
      <c r="Y11" s="9" t="s">
        <v>122</v>
      </c>
      <c r="Z11" s="11"/>
      <c r="AA11" s="11" t="s">
        <v>240</v>
      </c>
      <c r="AB11" s="11" t="s">
        <v>241</v>
      </c>
      <c r="AC11" s="11" t="s">
        <v>180</v>
      </c>
    </row>
    <row r="12" spans="1:29" ht="14.45" customHeight="1" x14ac:dyDescent="0.25">
      <c r="A12" s="5">
        <v>21</v>
      </c>
      <c r="B12" s="5" t="s">
        <v>4</v>
      </c>
      <c r="C12" s="7">
        <v>1</v>
      </c>
      <c r="D12" s="5" t="s">
        <v>10</v>
      </c>
      <c r="E12" s="6">
        <v>46037</v>
      </c>
      <c r="F12" s="5" t="s">
        <v>242</v>
      </c>
      <c r="G12" s="7" t="s">
        <v>243</v>
      </c>
      <c r="H12" s="7" t="s">
        <v>244</v>
      </c>
      <c r="I12" s="7" t="s">
        <v>245</v>
      </c>
      <c r="J12" s="1">
        <v>40000</v>
      </c>
      <c r="K12" s="1">
        <v>1002</v>
      </c>
      <c r="L12" s="1"/>
      <c r="M12" s="1"/>
      <c r="N12" s="8">
        <f t="shared" si="0"/>
        <v>0</v>
      </c>
      <c r="O12" s="6">
        <v>45923</v>
      </c>
      <c r="P12" s="7" t="s">
        <v>246</v>
      </c>
      <c r="Q12" s="7" t="s">
        <v>18</v>
      </c>
      <c r="R12" s="5" t="s">
        <v>23</v>
      </c>
      <c r="S12" s="7" t="s">
        <v>76</v>
      </c>
      <c r="T12" s="11" t="s">
        <v>22</v>
      </c>
      <c r="U12" s="7" t="s">
        <v>86</v>
      </c>
      <c r="V12" s="7" t="s">
        <v>203</v>
      </c>
      <c r="W12" s="7" t="s">
        <v>194</v>
      </c>
      <c r="X12" s="7"/>
      <c r="Y12" s="5" t="s">
        <v>122</v>
      </c>
      <c r="Z12" s="7" t="s">
        <v>177</v>
      </c>
      <c r="AA12" s="7" t="s">
        <v>247</v>
      </c>
      <c r="AB12" s="7" t="s">
        <v>248</v>
      </c>
      <c r="AC12" s="7" t="s">
        <v>249</v>
      </c>
    </row>
    <row r="13" spans="1:29" ht="14.45" customHeight="1" x14ac:dyDescent="0.25">
      <c r="A13" s="9">
        <v>22</v>
      </c>
      <c r="B13" s="9" t="s">
        <v>4</v>
      </c>
      <c r="C13" s="11">
        <v>1</v>
      </c>
      <c r="D13" s="9" t="s">
        <v>10</v>
      </c>
      <c r="E13" s="10">
        <v>46038</v>
      </c>
      <c r="F13" s="9" t="s">
        <v>250</v>
      </c>
      <c r="G13" s="11" t="s">
        <v>251</v>
      </c>
      <c r="H13" s="11" t="s">
        <v>252</v>
      </c>
      <c r="I13" s="11" t="s">
        <v>253</v>
      </c>
      <c r="J13" s="2">
        <v>155500</v>
      </c>
      <c r="K13" s="2">
        <v>28800</v>
      </c>
      <c r="L13" s="2">
        <v>27450</v>
      </c>
      <c r="M13" s="2">
        <v>1350</v>
      </c>
      <c r="N13" s="12">
        <f t="shared" si="0"/>
        <v>0.953125</v>
      </c>
      <c r="O13" s="10">
        <v>45923</v>
      </c>
      <c r="P13" s="11" t="s">
        <v>254</v>
      </c>
      <c r="Q13" s="11" t="s">
        <v>31</v>
      </c>
      <c r="R13" s="9" t="s">
        <v>23</v>
      </c>
      <c r="S13" s="11" t="s">
        <v>11</v>
      </c>
      <c r="T13" s="11" t="s">
        <v>1237</v>
      </c>
      <c r="U13" s="11" t="s">
        <v>255</v>
      </c>
      <c r="V13" s="11" t="s">
        <v>256</v>
      </c>
      <c r="W13" s="11" t="s">
        <v>184</v>
      </c>
      <c r="X13" s="11" t="s">
        <v>257</v>
      </c>
      <c r="Y13" s="9" t="s">
        <v>122</v>
      </c>
      <c r="Z13" s="11"/>
      <c r="AA13" s="11" t="s">
        <v>258</v>
      </c>
      <c r="AB13" s="11" t="s">
        <v>259</v>
      </c>
      <c r="AC13" s="11"/>
    </row>
    <row r="14" spans="1:29" ht="14.45" customHeight="1" x14ac:dyDescent="0.25">
      <c r="A14" s="5">
        <v>23</v>
      </c>
      <c r="B14" s="5" t="s">
        <v>4</v>
      </c>
      <c r="C14" s="7">
        <v>1</v>
      </c>
      <c r="D14" s="5" t="s">
        <v>15</v>
      </c>
      <c r="E14" s="6">
        <v>46041</v>
      </c>
      <c r="F14" s="5" t="s">
        <v>260</v>
      </c>
      <c r="G14" s="7" t="s">
        <v>39</v>
      </c>
      <c r="H14" s="7" t="s">
        <v>261</v>
      </c>
      <c r="I14" s="7" t="s">
        <v>262</v>
      </c>
      <c r="J14" s="1">
        <v>690000</v>
      </c>
      <c r="K14" s="1">
        <v>438000</v>
      </c>
      <c r="L14" s="1"/>
      <c r="M14" s="1"/>
      <c r="N14" s="8">
        <f t="shared" si="0"/>
        <v>0</v>
      </c>
      <c r="O14" s="6">
        <v>46031</v>
      </c>
      <c r="P14" s="7" t="s">
        <v>263</v>
      </c>
      <c r="Q14" s="7" t="s">
        <v>64</v>
      </c>
      <c r="R14" s="5" t="s">
        <v>29</v>
      </c>
      <c r="S14" s="7" t="s">
        <v>11</v>
      </c>
      <c r="T14" s="7" t="s">
        <v>1234</v>
      </c>
      <c r="U14" s="7" t="s">
        <v>82</v>
      </c>
      <c r="V14" s="7"/>
      <c r="W14" s="7"/>
      <c r="X14" s="7"/>
      <c r="Y14" s="5" t="s">
        <v>122</v>
      </c>
      <c r="Z14" s="7" t="s">
        <v>264</v>
      </c>
      <c r="AA14" s="7"/>
      <c r="AB14" s="7"/>
      <c r="AC14" s="7"/>
    </row>
    <row r="15" spans="1:29" ht="14.45" customHeight="1" x14ac:dyDescent="0.25">
      <c r="A15" s="9">
        <v>24</v>
      </c>
      <c r="B15" s="9" t="s">
        <v>4</v>
      </c>
      <c r="C15" s="11">
        <v>1</v>
      </c>
      <c r="D15" s="9" t="s">
        <v>10</v>
      </c>
      <c r="E15" s="10">
        <v>46042</v>
      </c>
      <c r="F15" s="9" t="s">
        <v>265</v>
      </c>
      <c r="G15" s="11" t="s">
        <v>266</v>
      </c>
      <c r="H15" s="11" t="s">
        <v>267</v>
      </c>
      <c r="I15" s="11" t="s">
        <v>268</v>
      </c>
      <c r="J15" s="2">
        <v>600000</v>
      </c>
      <c r="K15" s="2">
        <v>125760</v>
      </c>
      <c r="L15" s="2">
        <v>110160</v>
      </c>
      <c r="M15" s="2">
        <v>0</v>
      </c>
      <c r="N15" s="12">
        <f t="shared" si="0"/>
        <v>0.87595419847328249</v>
      </c>
      <c r="O15" s="10">
        <v>45505</v>
      </c>
      <c r="P15" s="11" t="s">
        <v>269</v>
      </c>
      <c r="Q15" s="11" t="s">
        <v>18</v>
      </c>
      <c r="R15" s="9" t="s">
        <v>23</v>
      </c>
      <c r="S15" s="11" t="s">
        <v>76</v>
      </c>
      <c r="T15" s="11" t="s">
        <v>22</v>
      </c>
      <c r="U15" s="11" t="s">
        <v>90</v>
      </c>
      <c r="V15" s="11" t="s">
        <v>270</v>
      </c>
      <c r="W15" s="11" t="s">
        <v>271</v>
      </c>
      <c r="X15" s="11" t="s">
        <v>257</v>
      </c>
      <c r="Y15" s="9" t="s">
        <v>122</v>
      </c>
      <c r="Z15" s="11"/>
      <c r="AA15" s="11" t="s">
        <v>272</v>
      </c>
      <c r="AB15" s="11" t="s">
        <v>248</v>
      </c>
      <c r="AC15" s="11" t="s">
        <v>187</v>
      </c>
    </row>
    <row r="16" spans="1:29" ht="14.45" customHeight="1" x14ac:dyDescent="0.25">
      <c r="A16" s="5">
        <v>25</v>
      </c>
      <c r="B16" s="5" t="s">
        <v>4</v>
      </c>
      <c r="C16" s="7">
        <v>1</v>
      </c>
      <c r="D16" s="5" t="s">
        <v>10</v>
      </c>
      <c r="E16" s="6">
        <v>46042</v>
      </c>
      <c r="F16" s="5" t="s">
        <v>273</v>
      </c>
      <c r="G16" s="7" t="s">
        <v>266</v>
      </c>
      <c r="H16" s="7" t="s">
        <v>274</v>
      </c>
      <c r="I16" s="7" t="s">
        <v>275</v>
      </c>
      <c r="J16" s="1">
        <v>100000</v>
      </c>
      <c r="K16" s="1">
        <v>48360</v>
      </c>
      <c r="L16" s="1">
        <v>46920</v>
      </c>
      <c r="M16" s="1">
        <v>0</v>
      </c>
      <c r="N16" s="8">
        <f t="shared" si="0"/>
        <v>0.97022332506203479</v>
      </c>
      <c r="O16" s="6">
        <v>45231</v>
      </c>
      <c r="P16" s="7" t="s">
        <v>269</v>
      </c>
      <c r="Q16" s="7" t="s">
        <v>18</v>
      </c>
      <c r="R16" s="5" t="s">
        <v>23</v>
      </c>
      <c r="S16" s="7" t="s">
        <v>76</v>
      </c>
      <c r="T16" s="11" t="s">
        <v>22</v>
      </c>
      <c r="U16" s="7" t="s">
        <v>90</v>
      </c>
      <c r="V16" s="7" t="s">
        <v>276</v>
      </c>
      <c r="W16" s="7" t="s">
        <v>271</v>
      </c>
      <c r="X16" s="7" t="s">
        <v>257</v>
      </c>
      <c r="Y16" s="5" t="s">
        <v>122</v>
      </c>
      <c r="Z16" s="7"/>
      <c r="AA16" s="7" t="s">
        <v>272</v>
      </c>
      <c r="AB16" s="7" t="s">
        <v>248</v>
      </c>
      <c r="AC16" s="7" t="s">
        <v>187</v>
      </c>
    </row>
    <row r="17" spans="1:29" ht="14.45" customHeight="1" x14ac:dyDescent="0.25">
      <c r="A17" s="9">
        <v>26</v>
      </c>
      <c r="B17" s="9" t="s">
        <v>4</v>
      </c>
      <c r="C17" s="11">
        <v>1</v>
      </c>
      <c r="D17" s="9" t="s">
        <v>15</v>
      </c>
      <c r="E17" s="10">
        <v>46043</v>
      </c>
      <c r="F17" s="9" t="s">
        <v>277</v>
      </c>
      <c r="G17" s="11" t="s">
        <v>278</v>
      </c>
      <c r="H17" s="11" t="s">
        <v>279</v>
      </c>
      <c r="I17" s="11" t="s">
        <v>280</v>
      </c>
      <c r="J17" s="2">
        <v>2000</v>
      </c>
      <c r="K17" s="2">
        <v>0</v>
      </c>
      <c r="L17" s="2"/>
      <c r="M17" s="2"/>
      <c r="N17" s="12" t="str">
        <f t="shared" si="0"/>
        <v/>
      </c>
      <c r="O17" s="10">
        <v>45860</v>
      </c>
      <c r="P17" s="11" t="s">
        <v>281</v>
      </c>
      <c r="Q17" s="11" t="s">
        <v>53</v>
      </c>
      <c r="R17" s="9" t="s">
        <v>29</v>
      </c>
      <c r="S17" s="11" t="s">
        <v>11</v>
      </c>
      <c r="T17" s="11" t="s">
        <v>56</v>
      </c>
      <c r="U17" s="11" t="s">
        <v>82</v>
      </c>
      <c r="V17" s="11"/>
      <c r="W17" s="11" t="s">
        <v>282</v>
      </c>
      <c r="X17" s="11"/>
      <c r="Y17" s="9" t="s">
        <v>122</v>
      </c>
      <c r="Z17" s="11"/>
      <c r="AA17" s="11" t="s">
        <v>283</v>
      </c>
      <c r="AB17" s="11"/>
      <c r="AC17" s="11"/>
    </row>
    <row r="18" spans="1:29" ht="14.45" customHeight="1" x14ac:dyDescent="0.25">
      <c r="A18" s="5">
        <v>27</v>
      </c>
      <c r="B18" s="5" t="s">
        <v>4</v>
      </c>
      <c r="C18" s="7">
        <v>1</v>
      </c>
      <c r="D18" s="5" t="s">
        <v>10</v>
      </c>
      <c r="E18" s="6">
        <v>46043</v>
      </c>
      <c r="F18" s="5" t="s">
        <v>284</v>
      </c>
      <c r="G18" s="7" t="s">
        <v>54</v>
      </c>
      <c r="H18" s="7" t="s">
        <v>285</v>
      </c>
      <c r="I18" s="7" t="s">
        <v>286</v>
      </c>
      <c r="J18" s="1">
        <v>7500</v>
      </c>
      <c r="K18" s="1">
        <v>7300</v>
      </c>
      <c r="L18" s="1">
        <v>6000</v>
      </c>
      <c r="M18" s="1">
        <v>1300</v>
      </c>
      <c r="N18" s="8">
        <f t="shared" si="0"/>
        <v>0.82191780821917804</v>
      </c>
      <c r="O18" s="6">
        <v>46044</v>
      </c>
      <c r="P18" s="7" t="s">
        <v>287</v>
      </c>
      <c r="Q18" s="7" t="s">
        <v>16</v>
      </c>
      <c r="R18" s="5" t="s">
        <v>23</v>
      </c>
      <c r="S18" s="7" t="s">
        <v>75</v>
      </c>
      <c r="T18" s="7" t="s">
        <v>12</v>
      </c>
      <c r="U18" s="7" t="s">
        <v>83</v>
      </c>
      <c r="V18" s="7" t="s">
        <v>288</v>
      </c>
      <c r="W18" s="7" t="s">
        <v>168</v>
      </c>
      <c r="X18" s="7" t="s">
        <v>289</v>
      </c>
      <c r="Y18" s="5" t="s">
        <v>122</v>
      </c>
      <c r="Z18" s="7" t="s">
        <v>290</v>
      </c>
      <c r="AA18" s="7" t="s">
        <v>291</v>
      </c>
      <c r="AB18" s="7" t="s">
        <v>292</v>
      </c>
      <c r="AC18" s="7" t="s">
        <v>293</v>
      </c>
    </row>
    <row r="19" spans="1:29" ht="14.45" customHeight="1" x14ac:dyDescent="0.25">
      <c r="A19" s="9">
        <v>28</v>
      </c>
      <c r="B19" s="9" t="s">
        <v>4</v>
      </c>
      <c r="C19" s="11">
        <v>1</v>
      </c>
      <c r="D19" s="9" t="s">
        <v>10</v>
      </c>
      <c r="E19" s="10">
        <v>46043</v>
      </c>
      <c r="F19" s="9" t="s">
        <v>294</v>
      </c>
      <c r="G19" s="11" t="s">
        <v>54</v>
      </c>
      <c r="H19" s="11" t="s">
        <v>152</v>
      </c>
      <c r="I19" s="11" t="s">
        <v>153</v>
      </c>
      <c r="J19" s="2">
        <v>10000</v>
      </c>
      <c r="K19" s="2">
        <v>9800</v>
      </c>
      <c r="L19" s="2">
        <v>8000</v>
      </c>
      <c r="M19" s="2">
        <v>1800</v>
      </c>
      <c r="N19" s="12">
        <f t="shared" si="0"/>
        <v>0.81632653061224492</v>
      </c>
      <c r="O19" s="10">
        <v>46008</v>
      </c>
      <c r="P19" s="11" t="s">
        <v>295</v>
      </c>
      <c r="Q19" s="11" t="s">
        <v>16</v>
      </c>
      <c r="R19" s="9" t="s">
        <v>23</v>
      </c>
      <c r="S19" s="11" t="s">
        <v>75</v>
      </c>
      <c r="T19" s="11" t="s">
        <v>12</v>
      </c>
      <c r="U19" s="11" t="s">
        <v>83</v>
      </c>
      <c r="V19" s="11" t="s">
        <v>296</v>
      </c>
      <c r="W19" s="11" t="s">
        <v>168</v>
      </c>
      <c r="X19" s="11" t="s">
        <v>289</v>
      </c>
      <c r="Y19" s="9" t="s">
        <v>122</v>
      </c>
      <c r="Z19" s="11" t="s">
        <v>297</v>
      </c>
      <c r="AA19" s="11" t="s">
        <v>291</v>
      </c>
      <c r="AB19" s="11" t="s">
        <v>292</v>
      </c>
      <c r="AC19" s="11" t="s">
        <v>293</v>
      </c>
    </row>
    <row r="20" spans="1:29" ht="14.45" customHeight="1" x14ac:dyDescent="0.25">
      <c r="A20" s="5">
        <v>29</v>
      </c>
      <c r="B20" s="5" t="s">
        <v>4</v>
      </c>
      <c r="C20" s="7">
        <v>1</v>
      </c>
      <c r="D20" s="5" t="s">
        <v>10</v>
      </c>
      <c r="E20" s="6">
        <v>46043</v>
      </c>
      <c r="F20" s="5" t="s">
        <v>298</v>
      </c>
      <c r="G20" s="7" t="s">
        <v>54</v>
      </c>
      <c r="H20" s="7" t="s">
        <v>299</v>
      </c>
      <c r="I20" s="7" t="s">
        <v>300</v>
      </c>
      <c r="J20" s="1">
        <v>27500</v>
      </c>
      <c r="K20" s="1">
        <v>28485</v>
      </c>
      <c r="L20" s="1">
        <v>13500</v>
      </c>
      <c r="M20" s="1">
        <v>15300</v>
      </c>
      <c r="N20" s="8">
        <f t="shared" si="0"/>
        <v>0.47393364928909953</v>
      </c>
      <c r="O20" s="6">
        <v>46027</v>
      </c>
      <c r="P20" s="7" t="s">
        <v>301</v>
      </c>
      <c r="Q20" s="7" t="s">
        <v>16</v>
      </c>
      <c r="R20" s="5" t="s">
        <v>23</v>
      </c>
      <c r="S20" s="7" t="s">
        <v>75</v>
      </c>
      <c r="T20" s="7" t="s">
        <v>12</v>
      </c>
      <c r="U20" s="7" t="s">
        <v>83</v>
      </c>
      <c r="V20" s="7" t="s">
        <v>167</v>
      </c>
      <c r="W20" s="7" t="s">
        <v>168</v>
      </c>
      <c r="X20" s="7" t="s">
        <v>289</v>
      </c>
      <c r="Y20" s="5" t="s">
        <v>122</v>
      </c>
      <c r="Z20" s="7" t="s">
        <v>302</v>
      </c>
      <c r="AA20" s="7" t="s">
        <v>291</v>
      </c>
      <c r="AB20" s="7" t="s">
        <v>292</v>
      </c>
      <c r="AC20" s="7" t="s">
        <v>293</v>
      </c>
    </row>
    <row r="21" spans="1:29" ht="14.45" customHeight="1" x14ac:dyDescent="0.25">
      <c r="A21" s="9">
        <v>30</v>
      </c>
      <c r="B21" s="9" t="s">
        <v>4</v>
      </c>
      <c r="C21" s="11">
        <v>1</v>
      </c>
      <c r="D21" s="9" t="s">
        <v>10</v>
      </c>
      <c r="E21" s="10">
        <v>46043</v>
      </c>
      <c r="F21" s="9" t="s">
        <v>303</v>
      </c>
      <c r="G21" s="11" t="s">
        <v>304</v>
      </c>
      <c r="H21" s="11" t="s">
        <v>305</v>
      </c>
      <c r="I21" s="11" t="s">
        <v>306</v>
      </c>
      <c r="J21" s="2">
        <v>11500</v>
      </c>
      <c r="K21" s="2">
        <v>11550</v>
      </c>
      <c r="L21" s="2"/>
      <c r="M21" s="2"/>
      <c r="N21" s="12">
        <f t="shared" si="0"/>
        <v>0</v>
      </c>
      <c r="O21" s="10">
        <v>45995</v>
      </c>
      <c r="P21" s="11" t="s">
        <v>307</v>
      </c>
      <c r="Q21" s="11" t="s">
        <v>33</v>
      </c>
      <c r="R21" s="9" t="s">
        <v>23</v>
      </c>
      <c r="S21" s="11" t="s">
        <v>80</v>
      </c>
      <c r="T21" s="11" t="s">
        <v>28</v>
      </c>
      <c r="U21" s="11" t="s">
        <v>82</v>
      </c>
      <c r="V21" s="11" t="s">
        <v>308</v>
      </c>
      <c r="W21" s="11" t="s">
        <v>309</v>
      </c>
      <c r="X21" s="11"/>
      <c r="Y21" s="9" t="s">
        <v>122</v>
      </c>
      <c r="Z21" s="11" t="s">
        <v>310</v>
      </c>
      <c r="AA21" s="11" t="s">
        <v>311</v>
      </c>
      <c r="AB21" s="11" t="s">
        <v>312</v>
      </c>
      <c r="AC21" s="11" t="s">
        <v>313</v>
      </c>
    </row>
    <row r="22" spans="1:29" ht="14.45" customHeight="1" x14ac:dyDescent="0.25">
      <c r="A22" s="5">
        <v>31</v>
      </c>
      <c r="B22" s="5" t="s">
        <v>4</v>
      </c>
      <c r="C22" s="7">
        <v>1</v>
      </c>
      <c r="D22" s="5" t="s">
        <v>10</v>
      </c>
      <c r="E22" s="6">
        <v>46043</v>
      </c>
      <c r="F22" s="5" t="s">
        <v>314</v>
      </c>
      <c r="G22" s="7" t="s">
        <v>47</v>
      </c>
      <c r="H22" s="7" t="s">
        <v>315</v>
      </c>
      <c r="I22" s="7" t="s">
        <v>316</v>
      </c>
      <c r="J22" s="1">
        <v>501600</v>
      </c>
      <c r="K22" s="1">
        <v>31000</v>
      </c>
      <c r="L22" s="1">
        <v>21500</v>
      </c>
      <c r="M22" s="1">
        <v>9500</v>
      </c>
      <c r="N22" s="8">
        <f t="shared" si="0"/>
        <v>0.69354838709677424</v>
      </c>
      <c r="O22" s="6">
        <v>46036</v>
      </c>
      <c r="P22" s="7" t="s">
        <v>317</v>
      </c>
      <c r="Q22" s="7" t="s">
        <v>33</v>
      </c>
      <c r="R22" s="5" t="s">
        <v>23</v>
      </c>
      <c r="S22" s="7" t="s">
        <v>75</v>
      </c>
      <c r="T22" s="7" t="s">
        <v>44</v>
      </c>
      <c r="U22" s="7" t="s">
        <v>82</v>
      </c>
      <c r="V22" s="7" t="s">
        <v>318</v>
      </c>
      <c r="W22" s="7" t="s">
        <v>184</v>
      </c>
      <c r="X22" s="7" t="s">
        <v>289</v>
      </c>
      <c r="Y22" s="5" t="s">
        <v>122</v>
      </c>
      <c r="Z22" s="7" t="s">
        <v>319</v>
      </c>
      <c r="AA22" s="7" t="s">
        <v>320</v>
      </c>
      <c r="AB22" s="7" t="s">
        <v>321</v>
      </c>
      <c r="AC22" s="7" t="s">
        <v>322</v>
      </c>
    </row>
    <row r="23" spans="1:29" ht="14.45" customHeight="1" x14ac:dyDescent="0.25">
      <c r="A23" s="9">
        <v>32</v>
      </c>
      <c r="B23" s="9" t="s">
        <v>4</v>
      </c>
      <c r="C23" s="11">
        <v>1</v>
      </c>
      <c r="D23" s="9" t="s">
        <v>15</v>
      </c>
      <c r="E23" s="10">
        <v>46044</v>
      </c>
      <c r="F23" s="9" t="s">
        <v>323</v>
      </c>
      <c r="G23" s="11" t="s">
        <v>54</v>
      </c>
      <c r="H23" s="11"/>
      <c r="I23" s="11" t="s">
        <v>324</v>
      </c>
      <c r="J23" s="2"/>
      <c r="K23" s="2"/>
      <c r="L23" s="2"/>
      <c r="M23" s="2"/>
      <c r="N23" s="12" t="str">
        <f t="shared" si="0"/>
        <v/>
      </c>
      <c r="O23" s="10"/>
      <c r="P23" s="11" t="s">
        <v>325</v>
      </c>
      <c r="Q23" s="11" t="s">
        <v>30</v>
      </c>
      <c r="R23" s="9" t="s">
        <v>29</v>
      </c>
      <c r="S23" s="11" t="s">
        <v>11</v>
      </c>
      <c r="T23" s="11" t="s">
        <v>73</v>
      </c>
      <c r="U23" s="11" t="s">
        <v>82</v>
      </c>
      <c r="V23" s="11"/>
      <c r="W23" s="11"/>
      <c r="X23" s="11"/>
      <c r="Y23" s="9" t="s">
        <v>122</v>
      </c>
      <c r="Z23" s="11"/>
      <c r="AA23" s="11"/>
      <c r="AB23" s="11"/>
      <c r="AC23" s="11"/>
    </row>
    <row r="24" spans="1:29" ht="14.45" customHeight="1" x14ac:dyDescent="0.25">
      <c r="A24" s="5">
        <v>33</v>
      </c>
      <c r="B24" s="5" t="s">
        <v>4</v>
      </c>
      <c r="C24" s="7">
        <v>1</v>
      </c>
      <c r="D24" s="5" t="s">
        <v>10</v>
      </c>
      <c r="E24" s="6">
        <v>46044</v>
      </c>
      <c r="F24" s="5" t="s">
        <v>326</v>
      </c>
      <c r="G24" s="7" t="s">
        <v>251</v>
      </c>
      <c r="H24" s="7" t="s">
        <v>327</v>
      </c>
      <c r="I24" s="7" t="s">
        <v>328</v>
      </c>
      <c r="J24" s="1">
        <v>42000</v>
      </c>
      <c r="K24" s="1">
        <v>11943</v>
      </c>
      <c r="L24" s="1">
        <v>0</v>
      </c>
      <c r="M24" s="1">
        <v>11943</v>
      </c>
      <c r="N24" s="8">
        <f t="shared" si="0"/>
        <v>0</v>
      </c>
      <c r="O24" s="6">
        <v>46043</v>
      </c>
      <c r="P24" s="7" t="s">
        <v>329</v>
      </c>
      <c r="Q24" s="7" t="s">
        <v>67</v>
      </c>
      <c r="R24" s="5" t="s">
        <v>26</v>
      </c>
      <c r="S24" s="7" t="s">
        <v>11</v>
      </c>
      <c r="T24" s="7" t="s">
        <v>1237</v>
      </c>
      <c r="U24" s="7" t="s">
        <v>330</v>
      </c>
      <c r="V24" s="7" t="s">
        <v>331</v>
      </c>
      <c r="W24" s="7" t="s">
        <v>332</v>
      </c>
      <c r="X24" s="7"/>
      <c r="Y24" s="5" t="s">
        <v>122</v>
      </c>
      <c r="Z24" s="7"/>
      <c r="AA24" s="7" t="s">
        <v>333</v>
      </c>
      <c r="AB24" s="7" t="s">
        <v>334</v>
      </c>
      <c r="AC24" s="7" t="s">
        <v>335</v>
      </c>
    </row>
    <row r="25" spans="1:29" ht="14.45" customHeight="1" x14ac:dyDescent="0.25">
      <c r="A25" s="9">
        <v>34</v>
      </c>
      <c r="B25" s="9" t="s">
        <v>4</v>
      </c>
      <c r="C25" s="11">
        <v>1</v>
      </c>
      <c r="D25" s="9" t="s">
        <v>10</v>
      </c>
      <c r="E25" s="10">
        <v>46044</v>
      </c>
      <c r="F25" s="9" t="s">
        <v>336</v>
      </c>
      <c r="G25" s="11" t="s">
        <v>61</v>
      </c>
      <c r="H25" s="11" t="s">
        <v>337</v>
      </c>
      <c r="I25" s="11" t="s">
        <v>338</v>
      </c>
      <c r="J25" s="2">
        <v>15440</v>
      </c>
      <c r="K25" s="2">
        <v>15185</v>
      </c>
      <c r="L25" s="2">
        <v>15000</v>
      </c>
      <c r="M25" s="2">
        <v>185</v>
      </c>
      <c r="N25" s="12">
        <f t="shared" si="0"/>
        <v>0.98781692459664139</v>
      </c>
      <c r="O25" s="10">
        <v>46029</v>
      </c>
      <c r="P25" s="11" t="s">
        <v>339</v>
      </c>
      <c r="Q25" s="11" t="s">
        <v>43</v>
      </c>
      <c r="R25" s="9" t="s">
        <v>23</v>
      </c>
      <c r="S25" s="11" t="s">
        <v>11</v>
      </c>
      <c r="T25" s="11" t="s">
        <v>12</v>
      </c>
      <c r="U25" s="11" t="s">
        <v>84</v>
      </c>
      <c r="V25" s="11" t="s">
        <v>340</v>
      </c>
      <c r="W25" s="11" t="s">
        <v>168</v>
      </c>
      <c r="X25" s="11" t="s">
        <v>289</v>
      </c>
      <c r="Y25" s="9" t="s">
        <v>122</v>
      </c>
      <c r="Z25" s="11" t="s">
        <v>341</v>
      </c>
      <c r="AA25" s="11" t="s">
        <v>342</v>
      </c>
      <c r="AB25" s="11" t="s">
        <v>343</v>
      </c>
      <c r="AC25" s="11" t="s">
        <v>344</v>
      </c>
    </row>
    <row r="26" spans="1:29" ht="14.45" customHeight="1" x14ac:dyDescent="0.25">
      <c r="A26" s="5">
        <v>35</v>
      </c>
      <c r="B26" s="5" t="s">
        <v>4</v>
      </c>
      <c r="C26" s="7">
        <v>1</v>
      </c>
      <c r="D26" s="5" t="s">
        <v>10</v>
      </c>
      <c r="E26" s="6">
        <v>46044</v>
      </c>
      <c r="F26" s="5" t="s">
        <v>345</v>
      </c>
      <c r="G26" s="11" t="s">
        <v>42</v>
      </c>
      <c r="H26" s="7" t="s">
        <v>346</v>
      </c>
      <c r="I26" s="7" t="s">
        <v>347</v>
      </c>
      <c r="J26" s="1">
        <v>40000</v>
      </c>
      <c r="K26" s="1">
        <v>38000</v>
      </c>
      <c r="L26" s="1">
        <v>37800</v>
      </c>
      <c r="M26" s="1">
        <v>200</v>
      </c>
      <c r="N26" s="8">
        <f t="shared" si="0"/>
        <v>0.99473684210526314</v>
      </c>
      <c r="O26" s="6">
        <v>46035</v>
      </c>
      <c r="P26" s="7" t="s">
        <v>348</v>
      </c>
      <c r="Q26" s="7" t="s">
        <v>18</v>
      </c>
      <c r="R26" s="5" t="s">
        <v>23</v>
      </c>
      <c r="S26" s="7" t="s">
        <v>11</v>
      </c>
      <c r="T26" s="11" t="s">
        <v>22</v>
      </c>
      <c r="U26" s="7" t="s">
        <v>91</v>
      </c>
      <c r="V26" s="7" t="s">
        <v>349</v>
      </c>
      <c r="W26" s="7" t="s">
        <v>194</v>
      </c>
      <c r="X26" s="7" t="s">
        <v>289</v>
      </c>
      <c r="Y26" s="5" t="s">
        <v>122</v>
      </c>
      <c r="Z26" s="7" t="s">
        <v>350</v>
      </c>
      <c r="AA26" s="7" t="s">
        <v>351</v>
      </c>
      <c r="AB26" s="7" t="s">
        <v>352</v>
      </c>
      <c r="AC26" s="7" t="s">
        <v>353</v>
      </c>
    </row>
    <row r="27" spans="1:29" ht="14.45" customHeight="1" x14ac:dyDescent="0.25">
      <c r="A27" s="9">
        <v>36</v>
      </c>
      <c r="B27" s="9" t="s">
        <v>4</v>
      </c>
      <c r="C27" s="11">
        <v>1</v>
      </c>
      <c r="D27" s="9" t="s">
        <v>10</v>
      </c>
      <c r="E27" s="10">
        <v>46048</v>
      </c>
      <c r="F27" s="9" t="s">
        <v>354</v>
      </c>
      <c r="G27" s="11" t="s">
        <v>47</v>
      </c>
      <c r="H27" s="11" t="s">
        <v>355</v>
      </c>
      <c r="I27" s="11" t="s">
        <v>356</v>
      </c>
      <c r="J27" s="2">
        <v>320000</v>
      </c>
      <c r="K27" s="2">
        <v>1000</v>
      </c>
      <c r="L27" s="2">
        <v>1000</v>
      </c>
      <c r="M27" s="2">
        <v>0</v>
      </c>
      <c r="N27" s="12">
        <f t="shared" si="0"/>
        <v>1</v>
      </c>
      <c r="O27" s="10">
        <v>46043</v>
      </c>
      <c r="P27" s="11" t="s">
        <v>357</v>
      </c>
      <c r="Q27" s="11" t="s">
        <v>53</v>
      </c>
      <c r="R27" s="9" t="s">
        <v>29</v>
      </c>
      <c r="S27" s="11" t="s">
        <v>75</v>
      </c>
      <c r="T27" s="11" t="s">
        <v>44</v>
      </c>
      <c r="U27" s="11" t="s">
        <v>358</v>
      </c>
      <c r="V27" s="11" t="s">
        <v>359</v>
      </c>
      <c r="W27" s="11" t="s">
        <v>184</v>
      </c>
      <c r="X27" s="11"/>
      <c r="Y27" s="9" t="s">
        <v>122</v>
      </c>
      <c r="Z27" s="11" t="s">
        <v>360</v>
      </c>
      <c r="AA27" s="11" t="s">
        <v>361</v>
      </c>
      <c r="AB27" s="11" t="s">
        <v>362</v>
      </c>
      <c r="AC27" s="11" t="s">
        <v>363</v>
      </c>
    </row>
    <row r="28" spans="1:29" ht="14.45" customHeight="1" x14ac:dyDescent="0.25">
      <c r="A28" s="5">
        <v>37</v>
      </c>
      <c r="B28" s="5" t="s">
        <v>4</v>
      </c>
      <c r="C28" s="7">
        <v>1</v>
      </c>
      <c r="D28" s="5" t="s">
        <v>10</v>
      </c>
      <c r="E28" s="6">
        <v>46048</v>
      </c>
      <c r="F28" s="5" t="s">
        <v>364</v>
      </c>
      <c r="G28" s="7" t="s">
        <v>39</v>
      </c>
      <c r="H28" s="7" t="s">
        <v>365</v>
      </c>
      <c r="I28" s="7" t="s">
        <v>366</v>
      </c>
      <c r="J28" s="1">
        <v>10000</v>
      </c>
      <c r="K28" s="1">
        <v>10035</v>
      </c>
      <c r="L28" s="1">
        <v>9450</v>
      </c>
      <c r="M28" s="1">
        <v>0</v>
      </c>
      <c r="N28" s="8">
        <f t="shared" si="0"/>
        <v>0.94170403587443952</v>
      </c>
      <c r="O28" s="6">
        <v>46029</v>
      </c>
      <c r="P28" s="7" t="s">
        <v>367</v>
      </c>
      <c r="Q28" s="7" t="s">
        <v>27</v>
      </c>
      <c r="R28" s="5" t="s">
        <v>26</v>
      </c>
      <c r="S28" s="7" t="s">
        <v>11</v>
      </c>
      <c r="T28" s="7" t="s">
        <v>25</v>
      </c>
      <c r="U28" s="7" t="s">
        <v>89</v>
      </c>
      <c r="V28" s="7" t="s">
        <v>368</v>
      </c>
      <c r="W28" s="7" t="s">
        <v>184</v>
      </c>
      <c r="X28" s="7" t="s">
        <v>289</v>
      </c>
      <c r="Y28" s="5" t="s">
        <v>122</v>
      </c>
      <c r="Z28" s="7" t="s">
        <v>369</v>
      </c>
      <c r="AA28" s="7" t="s">
        <v>370</v>
      </c>
      <c r="AB28" s="7" t="s">
        <v>371</v>
      </c>
      <c r="AC28" s="7" t="s">
        <v>335</v>
      </c>
    </row>
    <row r="29" spans="1:29" ht="14.45" customHeight="1" x14ac:dyDescent="0.25">
      <c r="A29" s="9">
        <v>38</v>
      </c>
      <c r="B29" s="9" t="s">
        <v>4</v>
      </c>
      <c r="C29" s="11">
        <v>1</v>
      </c>
      <c r="D29" s="9" t="s">
        <v>10</v>
      </c>
      <c r="E29" s="10">
        <v>46048</v>
      </c>
      <c r="F29" s="9" t="s">
        <v>364</v>
      </c>
      <c r="G29" s="11" t="s">
        <v>39</v>
      </c>
      <c r="H29" s="11" t="s">
        <v>372</v>
      </c>
      <c r="I29" s="11" t="s">
        <v>373</v>
      </c>
      <c r="J29" s="2">
        <v>4000</v>
      </c>
      <c r="K29" s="2">
        <v>3800</v>
      </c>
      <c r="L29" s="2">
        <v>0</v>
      </c>
      <c r="M29" s="2">
        <v>3800</v>
      </c>
      <c r="N29" s="12">
        <f t="shared" si="0"/>
        <v>0</v>
      </c>
      <c r="O29" s="10">
        <v>46029</v>
      </c>
      <c r="P29" s="11" t="s">
        <v>374</v>
      </c>
      <c r="Q29" s="11" t="s">
        <v>24</v>
      </c>
      <c r="R29" s="9" t="s">
        <v>26</v>
      </c>
      <c r="S29" s="11" t="s">
        <v>11</v>
      </c>
      <c r="T29" s="43" t="s">
        <v>32</v>
      </c>
      <c r="U29" s="11" t="s">
        <v>82</v>
      </c>
      <c r="V29" s="11" t="s">
        <v>308</v>
      </c>
      <c r="W29" s="11" t="s">
        <v>229</v>
      </c>
      <c r="X29" s="11"/>
      <c r="Y29" s="9" t="s">
        <v>122</v>
      </c>
      <c r="Z29" s="11" t="s">
        <v>375</v>
      </c>
      <c r="AA29" s="11" t="s">
        <v>376</v>
      </c>
      <c r="AB29" s="11" t="s">
        <v>377</v>
      </c>
      <c r="AC29" s="11" t="s">
        <v>313</v>
      </c>
    </row>
    <row r="30" spans="1:29" ht="14.45" customHeight="1" x14ac:dyDescent="0.25">
      <c r="A30" s="5">
        <v>39</v>
      </c>
      <c r="B30" s="5" t="s">
        <v>4</v>
      </c>
      <c r="C30" s="7">
        <v>1</v>
      </c>
      <c r="D30" s="5" t="s">
        <v>15</v>
      </c>
      <c r="E30" s="6">
        <v>46049</v>
      </c>
      <c r="F30" s="5" t="s">
        <v>378</v>
      </c>
      <c r="G30" s="7" t="s">
        <v>379</v>
      </c>
      <c r="H30" s="7" t="s">
        <v>380</v>
      </c>
      <c r="I30" s="7" t="s">
        <v>381</v>
      </c>
      <c r="J30" s="1">
        <v>230000</v>
      </c>
      <c r="K30" s="1">
        <v>0</v>
      </c>
      <c r="L30" s="1">
        <v>0</v>
      </c>
      <c r="M30" s="1">
        <v>0</v>
      </c>
      <c r="N30" s="8" t="str">
        <f t="shared" si="0"/>
        <v/>
      </c>
      <c r="O30" s="6">
        <v>45985</v>
      </c>
      <c r="P30" s="7" t="s">
        <v>382</v>
      </c>
      <c r="Q30" s="7" t="s">
        <v>18</v>
      </c>
      <c r="R30" s="5" t="s">
        <v>23</v>
      </c>
      <c r="S30" s="7" t="s">
        <v>75</v>
      </c>
      <c r="T30" s="11" t="s">
        <v>22</v>
      </c>
      <c r="U30" s="7" t="s">
        <v>383</v>
      </c>
      <c r="V30" s="7" t="s">
        <v>384</v>
      </c>
      <c r="W30" s="7" t="s">
        <v>194</v>
      </c>
      <c r="X30" s="7"/>
      <c r="Y30" s="5" t="s">
        <v>122</v>
      </c>
      <c r="Z30" s="7"/>
      <c r="AA30" s="7" t="s">
        <v>385</v>
      </c>
      <c r="AB30" s="7" t="s">
        <v>386</v>
      </c>
      <c r="AC30" s="7" t="s">
        <v>187</v>
      </c>
    </row>
    <row r="31" spans="1:29" ht="14.45" customHeight="1" x14ac:dyDescent="0.25">
      <c r="A31" s="9">
        <v>40</v>
      </c>
      <c r="B31" s="9" t="s">
        <v>4</v>
      </c>
      <c r="C31" s="11">
        <v>1</v>
      </c>
      <c r="D31" s="9" t="s">
        <v>13</v>
      </c>
      <c r="E31" s="10">
        <v>46049</v>
      </c>
      <c r="F31" s="9" t="s">
        <v>387</v>
      </c>
      <c r="G31" s="11" t="s">
        <v>45</v>
      </c>
      <c r="H31" s="15" t="s">
        <v>388</v>
      </c>
      <c r="I31" s="11" t="s">
        <v>389</v>
      </c>
      <c r="J31" s="2">
        <v>1400</v>
      </c>
      <c r="K31" s="2">
        <v>1400</v>
      </c>
      <c r="L31" s="2">
        <v>0</v>
      </c>
      <c r="M31" s="2">
        <v>1400</v>
      </c>
      <c r="N31" s="12">
        <f t="shared" si="0"/>
        <v>0</v>
      </c>
      <c r="O31" s="10">
        <v>46049</v>
      </c>
      <c r="P31" s="11" t="s">
        <v>390</v>
      </c>
      <c r="Q31" s="11" t="s">
        <v>27</v>
      </c>
      <c r="R31" s="9" t="s">
        <v>26</v>
      </c>
      <c r="S31" s="11" t="s">
        <v>75</v>
      </c>
      <c r="T31" s="11" t="s">
        <v>22</v>
      </c>
      <c r="U31" s="11" t="s">
        <v>90</v>
      </c>
      <c r="V31" s="11" t="s">
        <v>270</v>
      </c>
      <c r="W31" s="11" t="s">
        <v>194</v>
      </c>
      <c r="X31" s="11"/>
      <c r="Y31" s="9" t="s">
        <v>122</v>
      </c>
      <c r="Z31" s="11"/>
      <c r="AA31" s="11" t="s">
        <v>391</v>
      </c>
      <c r="AB31" s="11" t="s">
        <v>392</v>
      </c>
      <c r="AC31" s="11"/>
    </row>
    <row r="32" spans="1:29" ht="14.45" customHeight="1" x14ac:dyDescent="0.25">
      <c r="A32" s="5">
        <v>41</v>
      </c>
      <c r="B32" s="5" t="s">
        <v>4</v>
      </c>
      <c r="C32" s="7">
        <v>1</v>
      </c>
      <c r="D32" s="5" t="s">
        <v>13</v>
      </c>
      <c r="E32" s="6">
        <v>46051</v>
      </c>
      <c r="F32" s="5" t="s">
        <v>151</v>
      </c>
      <c r="G32" s="7" t="s">
        <v>54</v>
      </c>
      <c r="H32" s="14" t="s">
        <v>393</v>
      </c>
      <c r="I32" s="7" t="s">
        <v>394</v>
      </c>
      <c r="J32" s="1">
        <v>10000</v>
      </c>
      <c r="K32" s="1">
        <v>13050</v>
      </c>
      <c r="L32" s="1">
        <v>10800</v>
      </c>
      <c r="M32" s="1">
        <v>2250</v>
      </c>
      <c r="N32" s="8">
        <f t="shared" si="0"/>
        <v>0.82758620689655171</v>
      </c>
      <c r="O32" s="6">
        <v>46051</v>
      </c>
      <c r="P32" s="7" t="s">
        <v>395</v>
      </c>
      <c r="Q32" s="7" t="s">
        <v>51</v>
      </c>
      <c r="R32" s="5" t="s">
        <v>23</v>
      </c>
      <c r="S32" s="7" t="s">
        <v>11</v>
      </c>
      <c r="T32" s="7" t="s">
        <v>12</v>
      </c>
      <c r="U32" s="7" t="s">
        <v>83</v>
      </c>
      <c r="V32" s="7" t="s">
        <v>167</v>
      </c>
      <c r="W32" s="7" t="s">
        <v>168</v>
      </c>
      <c r="X32" s="7" t="s">
        <v>289</v>
      </c>
      <c r="Y32" s="5" t="s">
        <v>122</v>
      </c>
      <c r="Z32" s="7"/>
      <c r="AA32" s="7" t="s">
        <v>291</v>
      </c>
      <c r="AB32" s="7"/>
      <c r="AC32" s="7"/>
    </row>
    <row r="33" spans="1:29" ht="14.45" customHeight="1" x14ac:dyDescent="0.25">
      <c r="A33" s="9">
        <v>42</v>
      </c>
      <c r="B33" s="9" t="s">
        <v>4</v>
      </c>
      <c r="C33" s="11">
        <v>1</v>
      </c>
      <c r="D33" s="9" t="s">
        <v>13</v>
      </c>
      <c r="E33" s="10">
        <v>46051</v>
      </c>
      <c r="F33" s="9" t="s">
        <v>151</v>
      </c>
      <c r="G33" s="11" t="s">
        <v>54</v>
      </c>
      <c r="H33" s="15" t="s">
        <v>396</v>
      </c>
      <c r="I33" s="11" t="s">
        <v>397</v>
      </c>
      <c r="J33" s="2">
        <v>40000</v>
      </c>
      <c r="K33" s="2">
        <v>42000</v>
      </c>
      <c r="L33" s="2">
        <v>39000</v>
      </c>
      <c r="M33" s="2">
        <v>3000</v>
      </c>
      <c r="N33" s="12">
        <f t="shared" si="0"/>
        <v>0.9285714285714286</v>
      </c>
      <c r="O33" s="10">
        <v>46051</v>
      </c>
      <c r="P33" s="11" t="s">
        <v>398</v>
      </c>
      <c r="Q33" s="11" t="s">
        <v>14</v>
      </c>
      <c r="R33" s="9" t="s">
        <v>26</v>
      </c>
      <c r="S33" s="11" t="s">
        <v>11</v>
      </c>
      <c r="T33" s="11" t="s">
        <v>12</v>
      </c>
      <c r="U33" s="11" t="s">
        <v>83</v>
      </c>
      <c r="V33" s="11" t="s">
        <v>167</v>
      </c>
      <c r="W33" s="11" t="s">
        <v>168</v>
      </c>
      <c r="X33" s="11" t="s">
        <v>289</v>
      </c>
      <c r="Y33" s="9" t="s">
        <v>122</v>
      </c>
      <c r="Z33" s="11"/>
      <c r="AA33" s="11" t="s">
        <v>291</v>
      </c>
      <c r="AB33" s="11"/>
      <c r="AC33" s="11"/>
    </row>
    <row r="34" spans="1:29" ht="14.45" customHeight="1" x14ac:dyDescent="0.25">
      <c r="A34" s="5">
        <v>43</v>
      </c>
      <c r="B34" s="5" t="s">
        <v>4</v>
      </c>
      <c r="C34" s="7">
        <v>1</v>
      </c>
      <c r="D34" s="5" t="s">
        <v>15</v>
      </c>
      <c r="E34" s="6">
        <v>46052</v>
      </c>
      <c r="F34" s="5" t="s">
        <v>399</v>
      </c>
      <c r="G34" s="7" t="s">
        <v>47</v>
      </c>
      <c r="H34" s="7" t="s">
        <v>400</v>
      </c>
      <c r="I34" s="7" t="s">
        <v>401</v>
      </c>
      <c r="J34" s="1">
        <v>55000</v>
      </c>
      <c r="K34" s="1">
        <v>55080</v>
      </c>
      <c r="L34" s="1">
        <v>55080</v>
      </c>
      <c r="M34" s="1">
        <v>0</v>
      </c>
      <c r="N34" s="8">
        <f t="shared" si="0"/>
        <v>1</v>
      </c>
      <c r="O34" s="6">
        <v>46051</v>
      </c>
      <c r="P34" s="7" t="s">
        <v>402</v>
      </c>
      <c r="Q34" s="7" t="s">
        <v>16</v>
      </c>
      <c r="R34" s="5" t="s">
        <v>23</v>
      </c>
      <c r="S34" s="7" t="s">
        <v>11</v>
      </c>
      <c r="T34" s="7" t="s">
        <v>36</v>
      </c>
      <c r="U34" s="7" t="s">
        <v>82</v>
      </c>
      <c r="V34" s="7" t="s">
        <v>403</v>
      </c>
      <c r="W34" s="7" t="s">
        <v>404</v>
      </c>
      <c r="X34" s="7"/>
      <c r="Y34" s="5" t="s">
        <v>122</v>
      </c>
      <c r="Z34" s="7" t="s">
        <v>405</v>
      </c>
      <c r="AA34" s="7" t="s">
        <v>406</v>
      </c>
      <c r="AB34" s="7" t="s">
        <v>407</v>
      </c>
      <c r="AC34" s="7" t="s">
        <v>408</v>
      </c>
    </row>
    <row r="35" spans="1:29" ht="14.45" customHeight="1" x14ac:dyDescent="0.25">
      <c r="A35" s="9">
        <v>44</v>
      </c>
      <c r="B35" s="9" t="s">
        <v>4</v>
      </c>
      <c r="C35" s="11">
        <v>1</v>
      </c>
      <c r="D35" s="9" t="s">
        <v>15</v>
      </c>
      <c r="E35" s="10">
        <v>46052</v>
      </c>
      <c r="F35" s="9" t="s">
        <v>409</v>
      </c>
      <c r="G35" s="11" t="s">
        <v>410</v>
      </c>
      <c r="H35" s="11" t="s">
        <v>411</v>
      </c>
      <c r="I35" s="11" t="s">
        <v>412</v>
      </c>
      <c r="J35" s="2">
        <v>2100</v>
      </c>
      <c r="K35" s="2">
        <v>944</v>
      </c>
      <c r="L35" s="2">
        <v>0</v>
      </c>
      <c r="M35" s="2">
        <v>944</v>
      </c>
      <c r="N35" s="12">
        <f t="shared" si="0"/>
        <v>0</v>
      </c>
      <c r="O35" s="10">
        <v>46038</v>
      </c>
      <c r="P35" s="11" t="s">
        <v>413</v>
      </c>
      <c r="Q35" s="11" t="s">
        <v>31</v>
      </c>
      <c r="R35" s="9" t="s">
        <v>23</v>
      </c>
      <c r="S35" s="11" t="s">
        <v>76</v>
      </c>
      <c r="T35" s="11" t="s">
        <v>65</v>
      </c>
      <c r="U35" s="11" t="s">
        <v>414</v>
      </c>
      <c r="V35" s="11" t="s">
        <v>415</v>
      </c>
      <c r="W35" s="11" t="s">
        <v>332</v>
      </c>
      <c r="X35" s="11" t="s">
        <v>184</v>
      </c>
      <c r="Y35" s="9" t="s">
        <v>122</v>
      </c>
      <c r="Z35" s="11" t="s">
        <v>416</v>
      </c>
      <c r="AA35" s="11" t="s">
        <v>417</v>
      </c>
      <c r="AB35" s="11" t="s">
        <v>418</v>
      </c>
      <c r="AC35" s="11" t="s">
        <v>419</v>
      </c>
    </row>
    <row r="36" spans="1:29" ht="14.45" customHeight="1" x14ac:dyDescent="0.25">
      <c r="A36" s="5">
        <v>45</v>
      </c>
      <c r="B36" s="55" t="s">
        <v>5</v>
      </c>
      <c r="C36" s="7">
        <v>2</v>
      </c>
      <c r="D36" s="5" t="s">
        <v>10</v>
      </c>
      <c r="E36" s="6">
        <v>46055</v>
      </c>
      <c r="F36" s="5" t="s">
        <v>420</v>
      </c>
      <c r="G36" s="7" t="s">
        <v>50</v>
      </c>
      <c r="H36" s="7" t="s">
        <v>421</v>
      </c>
      <c r="I36" s="7" t="s">
        <v>422</v>
      </c>
      <c r="J36" s="1">
        <v>100000</v>
      </c>
      <c r="K36" s="1">
        <v>37310</v>
      </c>
      <c r="L36" s="1">
        <v>0</v>
      </c>
      <c r="M36" s="1">
        <v>37310</v>
      </c>
      <c r="N36" s="8">
        <f t="shared" ref="N36:N67" si="1">IFERROR(L36/K36,"")</f>
        <v>0</v>
      </c>
      <c r="O36" s="6">
        <v>45903</v>
      </c>
      <c r="P36" s="7" t="s">
        <v>423</v>
      </c>
      <c r="Q36" s="7" t="s">
        <v>21</v>
      </c>
      <c r="R36" s="5" t="s">
        <v>26</v>
      </c>
      <c r="S36" s="7" t="s">
        <v>11</v>
      </c>
      <c r="T36" s="7" t="s">
        <v>17</v>
      </c>
      <c r="U36" s="7" t="s">
        <v>85</v>
      </c>
      <c r="V36" s="7" t="s">
        <v>424</v>
      </c>
      <c r="W36" s="7" t="s">
        <v>218</v>
      </c>
      <c r="X36" s="7" t="s">
        <v>359</v>
      </c>
      <c r="Y36" s="5" t="s">
        <v>122</v>
      </c>
      <c r="Z36" s="7" t="s">
        <v>425</v>
      </c>
      <c r="AA36" s="7" t="s">
        <v>426</v>
      </c>
      <c r="AB36" s="7" t="s">
        <v>427</v>
      </c>
      <c r="AC36" s="7" t="s">
        <v>428</v>
      </c>
    </row>
    <row r="37" spans="1:29" ht="14.45" customHeight="1" x14ac:dyDescent="0.25">
      <c r="A37" s="9">
        <v>46</v>
      </c>
      <c r="B37" s="55" t="s">
        <v>5</v>
      </c>
      <c r="C37" s="7">
        <v>2</v>
      </c>
      <c r="D37" s="9" t="s">
        <v>10</v>
      </c>
      <c r="E37" s="10">
        <v>46055</v>
      </c>
      <c r="F37" s="9" t="s">
        <v>420</v>
      </c>
      <c r="G37" s="11" t="s">
        <v>50</v>
      </c>
      <c r="H37" s="11" t="s">
        <v>429</v>
      </c>
      <c r="I37" s="11" t="s">
        <v>430</v>
      </c>
      <c r="J37" s="2">
        <v>20000</v>
      </c>
      <c r="K37" s="2">
        <v>13464</v>
      </c>
      <c r="L37" s="2">
        <v>0</v>
      </c>
      <c r="M37" s="2">
        <v>13464</v>
      </c>
      <c r="N37" s="12">
        <f t="shared" si="1"/>
        <v>0</v>
      </c>
      <c r="O37" s="10">
        <v>45929</v>
      </c>
      <c r="P37" s="11" t="s">
        <v>431</v>
      </c>
      <c r="Q37" s="11" t="s">
        <v>21</v>
      </c>
      <c r="R37" s="9" t="s">
        <v>26</v>
      </c>
      <c r="S37" s="11" t="s">
        <v>11</v>
      </c>
      <c r="T37" s="11" t="s">
        <v>17</v>
      </c>
      <c r="U37" s="11" t="s">
        <v>85</v>
      </c>
      <c r="V37" s="11" t="s">
        <v>424</v>
      </c>
      <c r="W37" s="11" t="s">
        <v>218</v>
      </c>
      <c r="X37" s="11"/>
      <c r="Y37" s="9" t="s">
        <v>122</v>
      </c>
      <c r="Z37" s="11" t="s">
        <v>432</v>
      </c>
      <c r="AA37" s="11" t="s">
        <v>426</v>
      </c>
      <c r="AB37" s="11" t="s">
        <v>427</v>
      </c>
      <c r="AC37" s="11" t="s">
        <v>428</v>
      </c>
    </row>
    <row r="38" spans="1:29" ht="14.45" customHeight="1" x14ac:dyDescent="0.25">
      <c r="A38" s="5">
        <v>51</v>
      </c>
      <c r="B38" s="55" t="s">
        <v>5</v>
      </c>
      <c r="C38" s="7">
        <v>2</v>
      </c>
      <c r="D38" s="5" t="s">
        <v>15</v>
      </c>
      <c r="E38" s="6">
        <v>46056</v>
      </c>
      <c r="F38" s="5" t="s">
        <v>465</v>
      </c>
      <c r="G38" s="7" t="s">
        <v>466</v>
      </c>
      <c r="H38" s="7" t="s">
        <v>467</v>
      </c>
      <c r="I38" s="7" t="s">
        <v>468</v>
      </c>
      <c r="J38" s="1">
        <v>14625</v>
      </c>
      <c r="K38" s="1">
        <v>14625</v>
      </c>
      <c r="L38" s="1">
        <v>0</v>
      </c>
      <c r="M38" s="1">
        <v>14625</v>
      </c>
      <c r="N38" s="8">
        <f t="shared" si="1"/>
        <v>0</v>
      </c>
      <c r="O38" s="6">
        <v>46042</v>
      </c>
      <c r="P38" s="7" t="s">
        <v>469</v>
      </c>
      <c r="Q38" s="7" t="s">
        <v>30</v>
      </c>
      <c r="R38" s="5" t="s">
        <v>29</v>
      </c>
      <c r="S38" s="7" t="s">
        <v>11</v>
      </c>
      <c r="T38" s="7" t="s">
        <v>1234</v>
      </c>
      <c r="U38" s="7" t="s">
        <v>82</v>
      </c>
      <c r="V38" s="7" t="s">
        <v>470</v>
      </c>
      <c r="W38" s="7" t="s">
        <v>471</v>
      </c>
      <c r="X38" s="7"/>
      <c r="Y38" s="5" t="s">
        <v>122</v>
      </c>
      <c r="Z38" s="7" t="s">
        <v>472</v>
      </c>
      <c r="AA38" s="7" t="s">
        <v>473</v>
      </c>
      <c r="AB38" s="7" t="s">
        <v>474</v>
      </c>
      <c r="AC38" s="7"/>
    </row>
    <row r="39" spans="1:29" ht="14.45" customHeight="1" x14ac:dyDescent="0.25">
      <c r="A39" s="5">
        <v>63</v>
      </c>
      <c r="B39" s="55" t="s">
        <v>5</v>
      </c>
      <c r="C39" s="7">
        <v>2</v>
      </c>
      <c r="D39" s="5" t="s">
        <v>10</v>
      </c>
      <c r="E39" s="6">
        <v>46064</v>
      </c>
      <c r="F39" s="5" t="s">
        <v>420</v>
      </c>
      <c r="G39" s="7" t="s">
        <v>50</v>
      </c>
      <c r="H39" s="7" t="s">
        <v>540</v>
      </c>
      <c r="I39" s="7" t="s">
        <v>541</v>
      </c>
      <c r="J39" s="1">
        <v>10000</v>
      </c>
      <c r="K39" s="1">
        <v>9950</v>
      </c>
      <c r="L39" s="1">
        <v>0</v>
      </c>
      <c r="M39" s="1">
        <v>9950</v>
      </c>
      <c r="N39" s="8">
        <f t="shared" si="1"/>
        <v>0</v>
      </c>
      <c r="O39" s="6">
        <v>45929</v>
      </c>
      <c r="P39" s="7" t="s">
        <v>423</v>
      </c>
      <c r="Q39" s="7" t="s">
        <v>21</v>
      </c>
      <c r="R39" s="5" t="s">
        <v>26</v>
      </c>
      <c r="S39" s="7" t="s">
        <v>11</v>
      </c>
      <c r="T39" s="7" t="s">
        <v>17</v>
      </c>
      <c r="U39" s="7" t="s">
        <v>85</v>
      </c>
      <c r="V39" s="7" t="s">
        <v>424</v>
      </c>
      <c r="W39" s="7" t="s">
        <v>218</v>
      </c>
      <c r="X39" s="7"/>
      <c r="Y39" s="5" t="s">
        <v>122</v>
      </c>
      <c r="Z39" s="7"/>
      <c r="AA39" s="7" t="s">
        <v>426</v>
      </c>
      <c r="AB39" s="7" t="s">
        <v>427</v>
      </c>
      <c r="AC39" s="7" t="s">
        <v>428</v>
      </c>
    </row>
    <row r="40" spans="1:29" ht="14.45" customHeight="1" x14ac:dyDescent="0.25">
      <c r="A40" s="9">
        <v>64</v>
      </c>
      <c r="B40" s="55" t="s">
        <v>5</v>
      </c>
      <c r="C40" s="7">
        <v>2</v>
      </c>
      <c r="D40" s="9" t="s">
        <v>10</v>
      </c>
      <c r="E40" s="10">
        <v>46064</v>
      </c>
      <c r="F40" s="9" t="s">
        <v>420</v>
      </c>
      <c r="G40" s="11" t="s">
        <v>50</v>
      </c>
      <c r="H40" s="11" t="s">
        <v>542</v>
      </c>
      <c r="I40" s="11" t="s">
        <v>543</v>
      </c>
      <c r="J40" s="2">
        <v>40000</v>
      </c>
      <c r="K40" s="2">
        <v>39920</v>
      </c>
      <c r="L40" s="2">
        <v>0</v>
      </c>
      <c r="M40" s="2">
        <v>39920</v>
      </c>
      <c r="N40" s="12">
        <f t="shared" si="1"/>
        <v>0</v>
      </c>
      <c r="O40" s="10">
        <v>45929</v>
      </c>
      <c r="P40" s="11" t="s">
        <v>423</v>
      </c>
      <c r="Q40" s="11" t="s">
        <v>21</v>
      </c>
      <c r="R40" s="9" t="s">
        <v>26</v>
      </c>
      <c r="S40" s="11" t="s">
        <v>11</v>
      </c>
      <c r="T40" s="11" t="s">
        <v>17</v>
      </c>
      <c r="U40" s="11" t="s">
        <v>85</v>
      </c>
      <c r="V40" s="11" t="s">
        <v>424</v>
      </c>
      <c r="W40" s="11" t="s">
        <v>218</v>
      </c>
      <c r="X40" s="11" t="s">
        <v>544</v>
      </c>
      <c r="Y40" s="9" t="s">
        <v>122</v>
      </c>
      <c r="Z40" s="11"/>
      <c r="AA40" s="11" t="s">
        <v>426</v>
      </c>
      <c r="AB40" s="11" t="s">
        <v>427</v>
      </c>
      <c r="AC40" s="11" t="s">
        <v>428</v>
      </c>
    </row>
    <row r="41" spans="1:29" ht="14.45" customHeight="1" x14ac:dyDescent="0.25">
      <c r="A41" s="9">
        <v>82</v>
      </c>
      <c r="B41" s="55" t="s">
        <v>5</v>
      </c>
      <c r="C41" s="7">
        <v>2</v>
      </c>
      <c r="D41" s="9" t="s">
        <v>15</v>
      </c>
      <c r="E41" s="10">
        <v>46073</v>
      </c>
      <c r="F41" s="9" t="s">
        <v>617</v>
      </c>
      <c r="G41" s="11" t="s">
        <v>47</v>
      </c>
      <c r="H41" s="11" t="s">
        <v>618</v>
      </c>
      <c r="I41" s="11" t="s">
        <v>619</v>
      </c>
      <c r="J41" s="2">
        <v>60000</v>
      </c>
      <c r="K41" s="2">
        <v>0</v>
      </c>
      <c r="L41" s="2"/>
      <c r="M41" s="2">
        <v>0</v>
      </c>
      <c r="N41" s="12" t="str">
        <f t="shared" si="1"/>
        <v/>
      </c>
      <c r="O41" s="10">
        <v>46038</v>
      </c>
      <c r="P41" s="11" t="s">
        <v>620</v>
      </c>
      <c r="Q41" s="11" t="s">
        <v>48</v>
      </c>
      <c r="R41" s="9" t="s">
        <v>29</v>
      </c>
      <c r="S41" s="11" t="s">
        <v>11</v>
      </c>
      <c r="T41" s="11" t="s">
        <v>41</v>
      </c>
      <c r="U41" s="11" t="s">
        <v>82</v>
      </c>
      <c r="V41" s="11" t="s">
        <v>621</v>
      </c>
      <c r="W41" s="11" t="s">
        <v>121</v>
      </c>
      <c r="X41" s="11"/>
      <c r="Y41" s="9" t="s">
        <v>602</v>
      </c>
      <c r="Z41" s="11" t="s">
        <v>622</v>
      </c>
      <c r="AA41" s="11" t="s">
        <v>623</v>
      </c>
      <c r="AB41" s="11" t="s">
        <v>624</v>
      </c>
      <c r="AC41" s="11" t="s">
        <v>532</v>
      </c>
    </row>
    <row r="42" spans="1:29" s="25" customFormat="1" ht="14.45" customHeight="1" x14ac:dyDescent="0.25">
      <c r="A42" s="20">
        <v>65</v>
      </c>
      <c r="B42" s="34" t="s">
        <v>5</v>
      </c>
      <c r="C42" s="22">
        <v>2</v>
      </c>
      <c r="D42" s="20" t="s">
        <v>10</v>
      </c>
      <c r="E42" s="21">
        <v>46064</v>
      </c>
      <c r="F42" s="20" t="s">
        <v>420</v>
      </c>
      <c r="G42" s="22" t="s">
        <v>50</v>
      </c>
      <c r="H42" s="22">
        <v>4001001001800</v>
      </c>
      <c r="I42" s="22" t="s">
        <v>545</v>
      </c>
      <c r="J42" s="23">
        <v>100000</v>
      </c>
      <c r="K42" s="23">
        <v>687</v>
      </c>
      <c r="L42" s="23">
        <v>0</v>
      </c>
      <c r="M42" s="23">
        <v>687</v>
      </c>
      <c r="N42" s="24">
        <f t="shared" si="1"/>
        <v>0</v>
      </c>
      <c r="O42" s="21">
        <v>45929</v>
      </c>
      <c r="P42" s="22" t="s">
        <v>423</v>
      </c>
      <c r="Q42" s="22" t="s">
        <v>21</v>
      </c>
      <c r="R42" s="20" t="s">
        <v>26</v>
      </c>
      <c r="S42" s="22" t="s">
        <v>11</v>
      </c>
      <c r="T42" s="22" t="s">
        <v>17</v>
      </c>
      <c r="U42" s="22" t="s">
        <v>85</v>
      </c>
      <c r="V42" s="22" t="s">
        <v>424</v>
      </c>
      <c r="W42" s="22" t="s">
        <v>218</v>
      </c>
      <c r="X42" s="22"/>
      <c r="Y42" s="20" t="s">
        <v>122</v>
      </c>
      <c r="Z42" s="22"/>
      <c r="AA42" s="22" t="s">
        <v>426</v>
      </c>
      <c r="AB42" s="22" t="s">
        <v>427</v>
      </c>
      <c r="AC42" s="22" t="s">
        <v>428</v>
      </c>
    </row>
    <row r="43" spans="1:29" s="40" customFormat="1" ht="14.45" customHeight="1" x14ac:dyDescent="0.25">
      <c r="A43" s="35">
        <v>122</v>
      </c>
      <c r="B43" s="35" t="s">
        <v>5</v>
      </c>
      <c r="C43" s="37">
        <v>2</v>
      </c>
      <c r="D43" s="35" t="s">
        <v>10</v>
      </c>
      <c r="E43" s="36">
        <v>46055</v>
      </c>
      <c r="F43" s="35" t="s">
        <v>420</v>
      </c>
      <c r="G43" s="37" t="s">
        <v>50</v>
      </c>
      <c r="H43" s="37" t="s">
        <v>421</v>
      </c>
      <c r="I43" s="37" t="s">
        <v>422</v>
      </c>
      <c r="J43" s="38">
        <v>100000</v>
      </c>
      <c r="K43" s="38">
        <v>37310</v>
      </c>
      <c r="L43" s="38">
        <v>0</v>
      </c>
      <c r="M43" s="38">
        <v>37310</v>
      </c>
      <c r="N43" s="39">
        <f t="shared" si="1"/>
        <v>0</v>
      </c>
      <c r="O43" s="36">
        <v>45903</v>
      </c>
      <c r="P43" s="37" t="s">
        <v>423</v>
      </c>
      <c r="Q43" s="37" t="s">
        <v>21</v>
      </c>
      <c r="R43" s="35" t="s">
        <v>26</v>
      </c>
      <c r="S43" s="37" t="s">
        <v>11</v>
      </c>
      <c r="T43" s="37" t="s">
        <v>17</v>
      </c>
      <c r="U43" s="37" t="s">
        <v>85</v>
      </c>
      <c r="V43" s="37" t="s">
        <v>424</v>
      </c>
      <c r="W43" s="37" t="s">
        <v>218</v>
      </c>
      <c r="X43" s="37" t="s">
        <v>359</v>
      </c>
      <c r="Y43" s="35" t="s">
        <v>122</v>
      </c>
      <c r="Z43" s="37" t="s">
        <v>425</v>
      </c>
      <c r="AA43" s="37" t="s">
        <v>426</v>
      </c>
      <c r="AB43" s="37" t="s">
        <v>427</v>
      </c>
      <c r="AC43" s="37" t="s">
        <v>428</v>
      </c>
    </row>
    <row r="44" spans="1:29" ht="14.45" customHeight="1" x14ac:dyDescent="0.25">
      <c r="A44" s="9">
        <v>52</v>
      </c>
      <c r="B44" s="55" t="s">
        <v>5</v>
      </c>
      <c r="C44" s="7">
        <v>2</v>
      </c>
      <c r="D44" s="9" t="s">
        <v>10</v>
      </c>
      <c r="E44" s="10">
        <v>46056</v>
      </c>
      <c r="F44" s="9" t="s">
        <v>475</v>
      </c>
      <c r="G44" s="11" t="s">
        <v>59</v>
      </c>
      <c r="H44" s="11" t="s">
        <v>476</v>
      </c>
      <c r="I44" s="11" t="s">
        <v>477</v>
      </c>
      <c r="J44" s="2">
        <v>2000</v>
      </c>
      <c r="K44" s="2">
        <v>1960</v>
      </c>
      <c r="L44" s="2">
        <v>0</v>
      </c>
      <c r="M44" s="2">
        <v>1960</v>
      </c>
      <c r="N44" s="12">
        <f t="shared" si="1"/>
        <v>0</v>
      </c>
      <c r="O44" s="10">
        <v>45975</v>
      </c>
      <c r="P44" s="11" t="s">
        <v>478</v>
      </c>
      <c r="Q44" s="11" t="s">
        <v>1149</v>
      </c>
      <c r="R44" s="9" t="s">
        <v>26</v>
      </c>
      <c r="S44" s="11" t="s">
        <v>11</v>
      </c>
      <c r="T44" s="11" t="s">
        <v>28</v>
      </c>
      <c r="U44" s="11" t="s">
        <v>82</v>
      </c>
      <c r="V44" s="11" t="s">
        <v>28</v>
      </c>
      <c r="W44" s="11" t="s">
        <v>229</v>
      </c>
      <c r="X44" s="11"/>
      <c r="Y44" s="9" t="s">
        <v>122</v>
      </c>
      <c r="Z44" s="11"/>
      <c r="AA44" s="11" t="s">
        <v>479</v>
      </c>
      <c r="AB44" s="11" t="s">
        <v>480</v>
      </c>
      <c r="AC44" s="11"/>
    </row>
    <row r="45" spans="1:29" ht="14.45" customHeight="1" x14ac:dyDescent="0.25">
      <c r="A45" s="5">
        <v>61</v>
      </c>
      <c r="B45" s="55" t="s">
        <v>5</v>
      </c>
      <c r="C45" s="7">
        <v>2</v>
      </c>
      <c r="D45" s="5" t="s">
        <v>15</v>
      </c>
      <c r="E45" s="6">
        <v>46062</v>
      </c>
      <c r="F45" s="5" t="s">
        <v>314</v>
      </c>
      <c r="G45" s="7" t="s">
        <v>47</v>
      </c>
      <c r="H45" s="7" t="s">
        <v>533</v>
      </c>
      <c r="I45" s="7" t="s">
        <v>534</v>
      </c>
      <c r="J45" s="1">
        <v>56000</v>
      </c>
      <c r="K45" s="1">
        <v>57500</v>
      </c>
      <c r="L45" s="1">
        <v>57500</v>
      </c>
      <c r="M45" s="1">
        <v>0</v>
      </c>
      <c r="N45" s="8">
        <f t="shared" si="1"/>
        <v>1</v>
      </c>
      <c r="O45" s="6">
        <v>46038</v>
      </c>
      <c r="P45" s="7" t="s">
        <v>528</v>
      </c>
      <c r="Q45" s="7" t="s">
        <v>16</v>
      </c>
      <c r="R45" s="5" t="s">
        <v>23</v>
      </c>
      <c r="S45" s="7" t="s">
        <v>11</v>
      </c>
      <c r="T45" s="7" t="s">
        <v>12</v>
      </c>
      <c r="U45" s="7" t="s">
        <v>82</v>
      </c>
      <c r="V45" s="7"/>
      <c r="W45" s="7"/>
      <c r="X45" s="7"/>
      <c r="Y45" s="5" t="s">
        <v>122</v>
      </c>
      <c r="Z45" s="7" t="s">
        <v>535</v>
      </c>
      <c r="AA45" s="7" t="s">
        <v>530</v>
      </c>
      <c r="AB45" s="7" t="s">
        <v>531</v>
      </c>
      <c r="AC45" s="7" t="s">
        <v>532</v>
      </c>
    </row>
    <row r="46" spans="1:29" ht="14.45" customHeight="1" x14ac:dyDescent="0.25">
      <c r="A46" s="9">
        <v>60</v>
      </c>
      <c r="B46" s="55" t="s">
        <v>5</v>
      </c>
      <c r="C46" s="7">
        <v>2</v>
      </c>
      <c r="D46" s="9" t="s">
        <v>15</v>
      </c>
      <c r="E46" s="10">
        <v>46062</v>
      </c>
      <c r="F46" s="9" t="s">
        <v>525</v>
      </c>
      <c r="G46" s="11" t="s">
        <v>47</v>
      </c>
      <c r="H46" s="11" t="s">
        <v>526</v>
      </c>
      <c r="I46" s="11" t="s">
        <v>527</v>
      </c>
      <c r="J46" s="2">
        <v>55000</v>
      </c>
      <c r="K46" s="2">
        <v>57000</v>
      </c>
      <c r="L46" s="2">
        <v>57000</v>
      </c>
      <c r="M46" s="2">
        <v>0</v>
      </c>
      <c r="N46" s="12">
        <f t="shared" si="1"/>
        <v>1</v>
      </c>
      <c r="O46" s="10">
        <v>46041</v>
      </c>
      <c r="P46" s="11" t="s">
        <v>528</v>
      </c>
      <c r="Q46" s="11" t="s">
        <v>16</v>
      </c>
      <c r="R46" s="9" t="s">
        <v>23</v>
      </c>
      <c r="S46" s="11" t="s">
        <v>11</v>
      </c>
      <c r="T46" s="7" t="s">
        <v>12</v>
      </c>
      <c r="U46" s="11" t="s">
        <v>82</v>
      </c>
      <c r="V46" s="11"/>
      <c r="W46" s="11"/>
      <c r="X46" s="11"/>
      <c r="Y46" s="9" t="s">
        <v>122</v>
      </c>
      <c r="Z46" s="11" t="s">
        <v>529</v>
      </c>
      <c r="AA46" s="11" t="s">
        <v>530</v>
      </c>
      <c r="AB46" s="11" t="s">
        <v>531</v>
      </c>
      <c r="AC46" s="11" t="s">
        <v>532</v>
      </c>
    </row>
    <row r="47" spans="1:29" ht="14.45" customHeight="1" x14ac:dyDescent="0.25">
      <c r="A47" s="9">
        <v>76</v>
      </c>
      <c r="B47" s="5" t="s">
        <v>5</v>
      </c>
      <c r="C47" s="11">
        <v>2</v>
      </c>
      <c r="D47" s="9" t="s">
        <v>13</v>
      </c>
      <c r="E47" s="10">
        <v>46071</v>
      </c>
      <c r="F47" s="9" t="s">
        <v>567</v>
      </c>
      <c r="G47" s="11" t="s">
        <v>50</v>
      </c>
      <c r="H47" s="11" t="s">
        <v>589</v>
      </c>
      <c r="I47" s="11" t="s">
        <v>590</v>
      </c>
      <c r="J47" s="2">
        <v>60000</v>
      </c>
      <c r="K47" s="2">
        <v>5200</v>
      </c>
      <c r="L47" s="2">
        <v>0</v>
      </c>
      <c r="M47" s="2">
        <v>5200</v>
      </c>
      <c r="N47" s="12">
        <f t="shared" si="1"/>
        <v>0</v>
      </c>
      <c r="O47" s="10">
        <v>46071</v>
      </c>
      <c r="P47" s="11" t="s">
        <v>591</v>
      </c>
      <c r="Q47" s="11" t="s">
        <v>16</v>
      </c>
      <c r="R47" s="9" t="s">
        <v>23</v>
      </c>
      <c r="S47" s="11" t="s">
        <v>75</v>
      </c>
      <c r="T47" s="11" t="s">
        <v>12</v>
      </c>
      <c r="U47" s="11" t="s">
        <v>83</v>
      </c>
      <c r="V47" s="11" t="s">
        <v>461</v>
      </c>
      <c r="W47" s="11" t="s">
        <v>168</v>
      </c>
      <c r="X47" s="11"/>
      <c r="Y47" s="9" t="s">
        <v>122</v>
      </c>
      <c r="Z47" s="11"/>
      <c r="AA47" s="11" t="s">
        <v>592</v>
      </c>
      <c r="AB47" s="11"/>
      <c r="AC47" s="11"/>
    </row>
    <row r="48" spans="1:29" ht="14.45" customHeight="1" x14ac:dyDescent="0.25">
      <c r="A48" s="5">
        <v>53</v>
      </c>
      <c r="B48" s="55" t="s">
        <v>5</v>
      </c>
      <c r="C48" s="7">
        <v>2</v>
      </c>
      <c r="D48" s="5" t="s">
        <v>10</v>
      </c>
      <c r="E48" s="6">
        <v>46056</v>
      </c>
      <c r="F48" s="5" t="s">
        <v>475</v>
      </c>
      <c r="G48" s="7" t="s">
        <v>59</v>
      </c>
      <c r="H48" s="7" t="s">
        <v>481</v>
      </c>
      <c r="I48" s="7" t="s">
        <v>482</v>
      </c>
      <c r="J48" s="1">
        <v>2000</v>
      </c>
      <c r="K48" s="1">
        <v>1955</v>
      </c>
      <c r="L48" s="1">
        <v>0</v>
      </c>
      <c r="M48" s="1">
        <v>1955</v>
      </c>
      <c r="N48" s="8">
        <f t="shared" si="1"/>
        <v>0</v>
      </c>
      <c r="O48" s="6">
        <v>45975</v>
      </c>
      <c r="P48" s="7" t="s">
        <v>478</v>
      </c>
      <c r="Q48" s="7" t="s">
        <v>1149</v>
      </c>
      <c r="R48" s="5" t="s">
        <v>26</v>
      </c>
      <c r="S48" s="7" t="s">
        <v>11</v>
      </c>
      <c r="T48" s="7" t="s">
        <v>28</v>
      </c>
      <c r="U48" s="7" t="s">
        <v>82</v>
      </c>
      <c r="V48" s="7" t="s">
        <v>28</v>
      </c>
      <c r="W48" s="7" t="s">
        <v>229</v>
      </c>
      <c r="X48" s="7"/>
      <c r="Y48" s="5" t="s">
        <v>122</v>
      </c>
      <c r="Z48" s="7"/>
      <c r="AA48" s="7" t="s">
        <v>479</v>
      </c>
      <c r="AB48" s="7" t="s">
        <v>480</v>
      </c>
      <c r="AC48" s="7"/>
    </row>
    <row r="49" spans="1:29" ht="14.45" customHeight="1" x14ac:dyDescent="0.25">
      <c r="A49" s="9">
        <v>50</v>
      </c>
      <c r="B49" s="55" t="s">
        <v>5</v>
      </c>
      <c r="C49" s="7">
        <v>2</v>
      </c>
      <c r="D49" s="9" t="s">
        <v>10</v>
      </c>
      <c r="E49" s="10">
        <v>46056</v>
      </c>
      <c r="F49" s="9" t="s">
        <v>457</v>
      </c>
      <c r="G49" s="11" t="s">
        <v>39</v>
      </c>
      <c r="H49" s="11" t="s">
        <v>458</v>
      </c>
      <c r="I49" s="11" t="s">
        <v>459</v>
      </c>
      <c r="J49" s="2">
        <v>195000</v>
      </c>
      <c r="K49" s="2">
        <v>192000</v>
      </c>
      <c r="L49" s="2">
        <v>0</v>
      </c>
      <c r="M49" s="2">
        <v>192000</v>
      </c>
      <c r="N49" s="12">
        <f t="shared" si="1"/>
        <v>0</v>
      </c>
      <c r="O49" s="10">
        <v>46037</v>
      </c>
      <c r="P49" s="11" t="s">
        <v>460</v>
      </c>
      <c r="Q49" s="11" t="s">
        <v>21</v>
      </c>
      <c r="R49" s="9" t="s">
        <v>26</v>
      </c>
      <c r="S49" s="11" t="s">
        <v>79</v>
      </c>
      <c r="T49" s="11" t="s">
        <v>38</v>
      </c>
      <c r="U49" s="11" t="s">
        <v>82</v>
      </c>
      <c r="V49" s="11"/>
      <c r="W49" s="11" t="s">
        <v>461</v>
      </c>
      <c r="X49" s="11" t="s">
        <v>176</v>
      </c>
      <c r="Y49" s="9" t="s">
        <v>122</v>
      </c>
      <c r="Z49" s="11" t="s">
        <v>462</v>
      </c>
      <c r="AA49" s="11" t="s">
        <v>463</v>
      </c>
      <c r="AB49" s="11" t="s">
        <v>464</v>
      </c>
      <c r="AC49" s="11"/>
    </row>
    <row r="50" spans="1:29" ht="14.45" customHeight="1" x14ac:dyDescent="0.25">
      <c r="A50" s="9">
        <v>48</v>
      </c>
      <c r="B50" s="55" t="s">
        <v>5</v>
      </c>
      <c r="C50" s="7">
        <v>2</v>
      </c>
      <c r="D50" s="9" t="s">
        <v>15</v>
      </c>
      <c r="E50" s="10">
        <v>46056</v>
      </c>
      <c r="F50" s="9" t="s">
        <v>441</v>
      </c>
      <c r="G50" s="11" t="s">
        <v>63</v>
      </c>
      <c r="H50" s="11" t="s">
        <v>442</v>
      </c>
      <c r="I50" s="11" t="s">
        <v>443</v>
      </c>
      <c r="J50" s="2">
        <v>300000</v>
      </c>
      <c r="K50" s="2">
        <v>5000</v>
      </c>
      <c r="L50" s="2"/>
      <c r="M50" s="2">
        <v>5000</v>
      </c>
      <c r="N50" s="12">
        <f t="shared" si="1"/>
        <v>0</v>
      </c>
      <c r="O50" s="10">
        <v>45904</v>
      </c>
      <c r="P50" s="11" t="s">
        <v>444</v>
      </c>
      <c r="Q50" s="11" t="s">
        <v>14</v>
      </c>
      <c r="R50" s="9" t="s">
        <v>26</v>
      </c>
      <c r="S50" s="11" t="s">
        <v>11</v>
      </c>
      <c r="T50" s="11" t="s">
        <v>12</v>
      </c>
      <c r="U50" s="11" t="s">
        <v>87</v>
      </c>
      <c r="V50" s="11" t="s">
        <v>445</v>
      </c>
      <c r="W50" s="11" t="s">
        <v>168</v>
      </c>
      <c r="X50" s="11"/>
      <c r="Y50" s="9" t="s">
        <v>122</v>
      </c>
      <c r="Z50" s="11" t="s">
        <v>446</v>
      </c>
      <c r="AA50" s="11" t="s">
        <v>447</v>
      </c>
      <c r="AB50" s="11" t="s">
        <v>448</v>
      </c>
      <c r="AC50" s="11" t="s">
        <v>449</v>
      </c>
    </row>
    <row r="51" spans="1:29" ht="14.45" customHeight="1" x14ac:dyDescent="0.25">
      <c r="A51" s="5">
        <v>69</v>
      </c>
      <c r="B51" s="55" t="s">
        <v>5</v>
      </c>
      <c r="C51" s="7">
        <v>2</v>
      </c>
      <c r="D51" s="5" t="s">
        <v>10</v>
      </c>
      <c r="E51" s="6">
        <v>46069</v>
      </c>
      <c r="F51" s="5" t="s">
        <v>560</v>
      </c>
      <c r="G51" s="7" t="s">
        <v>66</v>
      </c>
      <c r="H51" s="7" t="s">
        <v>561</v>
      </c>
      <c r="I51" s="7" t="s">
        <v>562</v>
      </c>
      <c r="J51" s="1">
        <v>1500</v>
      </c>
      <c r="K51" s="1">
        <v>1325</v>
      </c>
      <c r="L51" s="1">
        <v>0</v>
      </c>
      <c r="M51" s="1">
        <v>1325</v>
      </c>
      <c r="N51" s="8">
        <f t="shared" si="1"/>
        <v>0</v>
      </c>
      <c r="O51" s="6">
        <v>46006</v>
      </c>
      <c r="P51" s="7" t="s">
        <v>563</v>
      </c>
      <c r="Q51" s="7" t="s">
        <v>14</v>
      </c>
      <c r="R51" s="5" t="s">
        <v>26</v>
      </c>
      <c r="S51" s="7" t="s">
        <v>11</v>
      </c>
      <c r="T51" s="7" t="s">
        <v>12</v>
      </c>
      <c r="U51" s="7" t="s">
        <v>84</v>
      </c>
      <c r="V51" s="7" t="s">
        <v>296</v>
      </c>
      <c r="W51" s="7" t="s">
        <v>168</v>
      </c>
      <c r="X51" s="7"/>
      <c r="Y51" s="5" t="s">
        <v>122</v>
      </c>
      <c r="Z51" s="7"/>
      <c r="AA51" s="7"/>
      <c r="AB51" s="7"/>
      <c r="AC51" s="7"/>
    </row>
    <row r="52" spans="1:29" s="46" customFormat="1" ht="14.45" customHeight="1" x14ac:dyDescent="0.25">
      <c r="A52" s="41">
        <v>70</v>
      </c>
      <c r="B52" s="50" t="s">
        <v>5</v>
      </c>
      <c r="C52" s="52">
        <v>2</v>
      </c>
      <c r="D52" s="41" t="s">
        <v>10</v>
      </c>
      <c r="E52" s="42">
        <v>46069</v>
      </c>
      <c r="F52" s="41" t="s">
        <v>514</v>
      </c>
      <c r="G52" s="43" t="s">
        <v>45</v>
      </c>
      <c r="H52" s="43" t="s">
        <v>515</v>
      </c>
      <c r="I52" s="43" t="s">
        <v>516</v>
      </c>
      <c r="J52" s="44">
        <v>5000</v>
      </c>
      <c r="K52" s="44">
        <v>4375</v>
      </c>
      <c r="L52" s="44">
        <v>0</v>
      </c>
      <c r="M52" s="44">
        <v>4375</v>
      </c>
      <c r="N52" s="45">
        <f t="shared" si="1"/>
        <v>0</v>
      </c>
      <c r="O52" s="42">
        <v>46032</v>
      </c>
      <c r="P52" s="43" t="s">
        <v>517</v>
      </c>
      <c r="Q52" s="43" t="s">
        <v>24</v>
      </c>
      <c r="R52" s="41" t="s">
        <v>26</v>
      </c>
      <c r="S52" s="43" t="s">
        <v>11</v>
      </c>
      <c r="T52" s="43" t="s">
        <v>32</v>
      </c>
      <c r="U52" s="43" t="s">
        <v>82</v>
      </c>
      <c r="V52" s="43" t="s">
        <v>518</v>
      </c>
      <c r="W52" s="43" t="s">
        <v>309</v>
      </c>
      <c r="X52" s="43"/>
      <c r="Y52" s="41" t="s">
        <v>122</v>
      </c>
      <c r="Z52" s="43" t="s">
        <v>564</v>
      </c>
      <c r="AA52" s="43" t="s">
        <v>565</v>
      </c>
      <c r="AB52" s="43" t="s">
        <v>566</v>
      </c>
      <c r="AC52" s="43"/>
    </row>
    <row r="53" spans="1:29" s="46" customFormat="1" ht="14.45" customHeight="1" x14ac:dyDescent="0.25">
      <c r="A53" s="48">
        <v>77</v>
      </c>
      <c r="B53" s="50" t="s">
        <v>5</v>
      </c>
      <c r="C53" s="52">
        <v>2</v>
      </c>
      <c r="D53" s="48" t="s">
        <v>10</v>
      </c>
      <c r="E53" s="51">
        <v>46071</v>
      </c>
      <c r="F53" s="48" t="s">
        <v>514</v>
      </c>
      <c r="G53" s="52" t="s">
        <v>45</v>
      </c>
      <c r="H53" s="52" t="s">
        <v>593</v>
      </c>
      <c r="I53" s="52" t="s">
        <v>594</v>
      </c>
      <c r="J53" s="53">
        <v>10000</v>
      </c>
      <c r="K53" s="53">
        <v>9625</v>
      </c>
      <c r="L53" s="53">
        <v>5750</v>
      </c>
      <c r="M53" s="1">
        <f>+K53-L53</f>
        <v>3875</v>
      </c>
      <c r="N53" s="54">
        <f t="shared" si="1"/>
        <v>0.59740259740259738</v>
      </c>
      <c r="O53" s="51">
        <v>46015</v>
      </c>
      <c r="P53" s="52" t="s">
        <v>595</v>
      </c>
      <c r="Q53" s="52" t="s">
        <v>16</v>
      </c>
      <c r="R53" s="48" t="s">
        <v>23</v>
      </c>
      <c r="S53" s="52" t="s">
        <v>75</v>
      </c>
      <c r="T53" s="52" t="s">
        <v>12</v>
      </c>
      <c r="U53" s="52" t="s">
        <v>87</v>
      </c>
      <c r="V53" s="52" t="s">
        <v>596</v>
      </c>
      <c r="W53" s="52" t="s">
        <v>168</v>
      </c>
      <c r="X53" s="52"/>
      <c r="Y53" s="48" t="s">
        <v>122</v>
      </c>
      <c r="Z53" s="52" t="s">
        <v>597</v>
      </c>
      <c r="AA53" s="52"/>
      <c r="AB53" s="52"/>
      <c r="AC53" s="52"/>
    </row>
    <row r="54" spans="1:29" ht="14.45" customHeight="1" x14ac:dyDescent="0.25">
      <c r="A54" s="9">
        <v>86</v>
      </c>
      <c r="B54" s="5" t="s">
        <v>5</v>
      </c>
      <c r="C54" s="11">
        <v>2</v>
      </c>
      <c r="D54" s="9" t="s">
        <v>13</v>
      </c>
      <c r="E54" s="10">
        <v>46076</v>
      </c>
      <c r="F54" s="9" t="s">
        <v>636</v>
      </c>
      <c r="G54" s="11" t="s">
        <v>50</v>
      </c>
      <c r="H54" s="11" t="s">
        <v>637</v>
      </c>
      <c r="I54" s="11" t="s">
        <v>638</v>
      </c>
      <c r="J54" s="2">
        <v>10000</v>
      </c>
      <c r="K54" s="2">
        <v>2500</v>
      </c>
      <c r="L54" s="2">
        <v>0</v>
      </c>
      <c r="M54" s="2">
        <v>2500</v>
      </c>
      <c r="N54" s="12">
        <f t="shared" si="1"/>
        <v>0</v>
      </c>
      <c r="O54" s="10">
        <v>46076</v>
      </c>
      <c r="P54" s="11" t="s">
        <v>639</v>
      </c>
      <c r="Q54" s="11" t="s">
        <v>16</v>
      </c>
      <c r="R54" s="9" t="s">
        <v>23</v>
      </c>
      <c r="S54" s="11" t="s">
        <v>11</v>
      </c>
      <c r="T54" s="11" t="s">
        <v>12</v>
      </c>
      <c r="U54" s="11" t="s">
        <v>84</v>
      </c>
      <c r="V54" s="11" t="s">
        <v>640</v>
      </c>
      <c r="W54" s="11" t="s">
        <v>168</v>
      </c>
      <c r="X54" s="11"/>
      <c r="Y54" s="9" t="s">
        <v>122</v>
      </c>
      <c r="Z54" s="11"/>
      <c r="AA54" s="11" t="s">
        <v>641</v>
      </c>
      <c r="AB54" s="11"/>
      <c r="AC54" s="11"/>
    </row>
    <row r="55" spans="1:29" s="46" customFormat="1" ht="14.45" customHeight="1" x14ac:dyDescent="0.25">
      <c r="A55" s="48">
        <v>79</v>
      </c>
      <c r="B55" s="50" t="s">
        <v>5</v>
      </c>
      <c r="C55" s="52">
        <v>2</v>
      </c>
      <c r="D55" s="48" t="s">
        <v>10</v>
      </c>
      <c r="E55" s="51">
        <v>46071</v>
      </c>
      <c r="F55" s="48" t="s">
        <v>514</v>
      </c>
      <c r="G55" s="52" t="s">
        <v>45</v>
      </c>
      <c r="H55" s="52" t="s">
        <v>604</v>
      </c>
      <c r="I55" s="52" t="s">
        <v>605</v>
      </c>
      <c r="J55" s="53">
        <v>5000</v>
      </c>
      <c r="K55" s="53">
        <v>2445</v>
      </c>
      <c r="L55" s="53">
        <v>2437</v>
      </c>
      <c r="M55" s="1">
        <f>+K55-L55</f>
        <v>8</v>
      </c>
      <c r="N55" s="54">
        <f t="shared" si="1"/>
        <v>0.99672801635991815</v>
      </c>
      <c r="O55" s="51">
        <v>46014</v>
      </c>
      <c r="P55" s="52" t="s">
        <v>606</v>
      </c>
      <c r="Q55" s="52" t="s">
        <v>35</v>
      </c>
      <c r="R55" s="48" t="s">
        <v>23</v>
      </c>
      <c r="S55" s="52" t="s">
        <v>75</v>
      </c>
      <c r="T55" s="52" t="s">
        <v>12</v>
      </c>
      <c r="U55" s="52" t="s">
        <v>84</v>
      </c>
      <c r="V55" s="52" t="s">
        <v>296</v>
      </c>
      <c r="W55" s="52" t="s">
        <v>168</v>
      </c>
      <c r="X55" s="52"/>
      <c r="Y55" s="48" t="s">
        <v>122</v>
      </c>
      <c r="Z55" s="52" t="s">
        <v>607</v>
      </c>
      <c r="AA55" s="52" t="s">
        <v>608</v>
      </c>
      <c r="AB55" s="52" t="s">
        <v>609</v>
      </c>
      <c r="AC55" s="52"/>
    </row>
    <row r="56" spans="1:29" s="46" customFormat="1" ht="14.45" customHeight="1" x14ac:dyDescent="0.25">
      <c r="A56" s="41">
        <v>80</v>
      </c>
      <c r="B56" s="50" t="s">
        <v>5</v>
      </c>
      <c r="C56" s="52">
        <v>2</v>
      </c>
      <c r="D56" s="41" t="s">
        <v>10</v>
      </c>
      <c r="E56" s="42">
        <v>46073</v>
      </c>
      <c r="F56" s="41" t="s">
        <v>514</v>
      </c>
      <c r="G56" s="43" t="s">
        <v>45</v>
      </c>
      <c r="H56" s="43" t="s">
        <v>610</v>
      </c>
      <c r="I56" s="43" t="s">
        <v>611</v>
      </c>
      <c r="J56" s="44">
        <v>10000</v>
      </c>
      <c r="K56" s="44">
        <v>6650</v>
      </c>
      <c r="L56" s="44">
        <v>6650</v>
      </c>
      <c r="M56" s="1">
        <f>+K56-L56</f>
        <v>0</v>
      </c>
      <c r="N56" s="45">
        <f t="shared" si="1"/>
        <v>1</v>
      </c>
      <c r="O56" s="42">
        <v>46014</v>
      </c>
      <c r="P56" s="43" t="s">
        <v>612</v>
      </c>
      <c r="Q56" s="43" t="s">
        <v>31</v>
      </c>
      <c r="R56" s="41" t="s">
        <v>23</v>
      </c>
      <c r="S56" s="43" t="s">
        <v>11</v>
      </c>
      <c r="T56" s="7" t="s">
        <v>12</v>
      </c>
      <c r="U56" s="43" t="s">
        <v>82</v>
      </c>
      <c r="V56" s="43"/>
      <c r="W56" s="43"/>
      <c r="X56" s="43"/>
      <c r="Y56" s="41" t="s">
        <v>122</v>
      </c>
      <c r="Z56" s="43" t="s">
        <v>613</v>
      </c>
      <c r="AA56" s="43"/>
      <c r="AB56" s="43"/>
      <c r="AC56" s="43"/>
    </row>
    <row r="57" spans="1:29" s="46" customFormat="1" ht="14.45" customHeight="1" x14ac:dyDescent="0.25">
      <c r="A57" s="48">
        <v>81</v>
      </c>
      <c r="B57" s="50" t="s">
        <v>5</v>
      </c>
      <c r="C57" s="52">
        <v>2</v>
      </c>
      <c r="D57" s="48" t="s">
        <v>10</v>
      </c>
      <c r="E57" s="51">
        <v>46073</v>
      </c>
      <c r="F57" s="48" t="s">
        <v>514</v>
      </c>
      <c r="G57" s="52" t="s">
        <v>45</v>
      </c>
      <c r="H57" s="52" t="s">
        <v>614</v>
      </c>
      <c r="I57" s="52" t="s">
        <v>615</v>
      </c>
      <c r="J57" s="53">
        <v>10000</v>
      </c>
      <c r="K57" s="53">
        <v>7195</v>
      </c>
      <c r="L57" s="53">
        <v>6600</v>
      </c>
      <c r="M57" s="1">
        <f>+K57-L57</f>
        <v>595</v>
      </c>
      <c r="N57" s="54">
        <f t="shared" si="1"/>
        <v>0.91730368311327315</v>
      </c>
      <c r="O57" s="51">
        <v>46015</v>
      </c>
      <c r="P57" s="52" t="s">
        <v>606</v>
      </c>
      <c r="Q57" s="52" t="s">
        <v>35</v>
      </c>
      <c r="R57" s="48" t="s">
        <v>23</v>
      </c>
      <c r="S57" s="52" t="s">
        <v>11</v>
      </c>
      <c r="T57" s="7" t="s">
        <v>12</v>
      </c>
      <c r="U57" s="52" t="s">
        <v>82</v>
      </c>
      <c r="V57" s="52"/>
      <c r="W57" s="52"/>
      <c r="X57" s="52"/>
      <c r="Y57" s="48" t="s">
        <v>122</v>
      </c>
      <c r="Z57" s="52" t="s">
        <v>616</v>
      </c>
      <c r="AA57" s="52"/>
      <c r="AB57" s="52"/>
      <c r="AC57" s="52"/>
    </row>
    <row r="58" spans="1:29" s="25" customFormat="1" ht="14.45" customHeight="1" x14ac:dyDescent="0.25">
      <c r="A58" s="20">
        <v>71</v>
      </c>
      <c r="B58" s="20" t="s">
        <v>5</v>
      </c>
      <c r="C58" s="7">
        <v>2</v>
      </c>
      <c r="D58" s="20" t="s">
        <v>13</v>
      </c>
      <c r="E58" s="21">
        <v>46069</v>
      </c>
      <c r="F58" s="20" t="s">
        <v>567</v>
      </c>
      <c r="G58" s="22" t="s">
        <v>50</v>
      </c>
      <c r="H58" s="22" t="s">
        <v>568</v>
      </c>
      <c r="I58" s="22" t="s">
        <v>569</v>
      </c>
      <c r="J58" s="23">
        <v>20000</v>
      </c>
      <c r="K58" s="23">
        <v>21000</v>
      </c>
      <c r="L58" s="23">
        <v>21000</v>
      </c>
      <c r="M58" s="23">
        <v>0</v>
      </c>
      <c r="N58" s="24">
        <f t="shared" si="1"/>
        <v>1</v>
      </c>
      <c r="O58" s="21">
        <v>46069</v>
      </c>
      <c r="P58" s="22" t="s">
        <v>570</v>
      </c>
      <c r="Q58" s="22" t="s">
        <v>14</v>
      </c>
      <c r="R58" s="20" t="s">
        <v>26</v>
      </c>
      <c r="S58" s="22" t="s">
        <v>11</v>
      </c>
      <c r="T58" s="22" t="s">
        <v>12</v>
      </c>
      <c r="U58" s="22" t="s">
        <v>83</v>
      </c>
      <c r="V58" s="22" t="s">
        <v>461</v>
      </c>
      <c r="W58" s="22" t="s">
        <v>168</v>
      </c>
      <c r="X58" s="22" t="s">
        <v>289</v>
      </c>
      <c r="Y58" s="20" t="s">
        <v>122</v>
      </c>
      <c r="Z58" s="22"/>
      <c r="AA58" s="22"/>
      <c r="AB58" s="22"/>
      <c r="AC58" s="22"/>
    </row>
    <row r="59" spans="1:29" ht="14.45" customHeight="1" x14ac:dyDescent="0.25">
      <c r="A59" s="5">
        <v>87</v>
      </c>
      <c r="B59" s="5" t="s">
        <v>5</v>
      </c>
      <c r="C59" s="7">
        <v>2</v>
      </c>
      <c r="D59" s="5" t="s">
        <v>13</v>
      </c>
      <c r="E59" s="6">
        <v>46077</v>
      </c>
      <c r="F59" s="5" t="s">
        <v>642</v>
      </c>
      <c r="G59" s="11" t="s">
        <v>42</v>
      </c>
      <c r="H59" s="7" t="s">
        <v>643</v>
      </c>
      <c r="I59" s="7" t="s">
        <v>644</v>
      </c>
      <c r="J59" s="1">
        <v>25000</v>
      </c>
      <c r="K59" s="1">
        <v>25600</v>
      </c>
      <c r="L59" s="1">
        <v>20200</v>
      </c>
      <c r="M59" s="1">
        <v>5400</v>
      </c>
      <c r="N59" s="8">
        <f t="shared" si="1"/>
        <v>0.7890625</v>
      </c>
      <c r="O59" s="6">
        <v>46077</v>
      </c>
      <c r="P59" s="7" t="s">
        <v>645</v>
      </c>
      <c r="Q59" s="7" t="s">
        <v>16</v>
      </c>
      <c r="R59" s="5" t="s">
        <v>23</v>
      </c>
      <c r="S59" s="7" t="s">
        <v>11</v>
      </c>
      <c r="T59" s="7" t="s">
        <v>12</v>
      </c>
      <c r="U59" s="7" t="s">
        <v>83</v>
      </c>
      <c r="V59" s="7" t="s">
        <v>167</v>
      </c>
      <c r="W59" s="7" t="s">
        <v>168</v>
      </c>
      <c r="X59" s="7" t="s">
        <v>359</v>
      </c>
      <c r="Y59" s="5" t="s">
        <v>122</v>
      </c>
      <c r="Z59" s="7" t="s">
        <v>646</v>
      </c>
      <c r="AA59" s="7" t="s">
        <v>647</v>
      </c>
      <c r="AB59" s="7"/>
      <c r="AC59" s="7"/>
    </row>
    <row r="60" spans="1:29" ht="14.45" customHeight="1" x14ac:dyDescent="0.25">
      <c r="A60" s="5">
        <v>67</v>
      </c>
      <c r="B60" s="55" t="s">
        <v>5</v>
      </c>
      <c r="C60" s="7">
        <v>2</v>
      </c>
      <c r="D60" s="5" t="s">
        <v>15</v>
      </c>
      <c r="E60" s="6">
        <v>46065</v>
      </c>
      <c r="F60" s="5" t="s">
        <v>551</v>
      </c>
      <c r="G60" s="7" t="s">
        <v>72</v>
      </c>
      <c r="H60" s="7" t="s">
        <v>552</v>
      </c>
      <c r="I60" s="7" t="s">
        <v>553</v>
      </c>
      <c r="J60" s="1">
        <v>1400</v>
      </c>
      <c r="K60" s="1">
        <v>0</v>
      </c>
      <c r="L60" s="1">
        <v>0</v>
      </c>
      <c r="M60" s="1">
        <v>0</v>
      </c>
      <c r="N60" s="8" t="str">
        <f t="shared" si="1"/>
        <v/>
      </c>
      <c r="O60" s="6">
        <v>46058</v>
      </c>
      <c r="P60" s="7" t="s">
        <v>554</v>
      </c>
      <c r="Q60" s="7" t="s">
        <v>46</v>
      </c>
      <c r="R60" s="5" t="s">
        <v>23</v>
      </c>
      <c r="S60" s="7" t="s">
        <v>11</v>
      </c>
      <c r="T60" s="7" t="s">
        <v>34</v>
      </c>
      <c r="U60" s="7" t="s">
        <v>82</v>
      </c>
      <c r="V60" s="7" t="s">
        <v>555</v>
      </c>
      <c r="W60" s="7" t="s">
        <v>229</v>
      </c>
      <c r="X60" s="7"/>
      <c r="Y60" s="5" t="s">
        <v>122</v>
      </c>
      <c r="Z60" s="7"/>
      <c r="AA60" s="7" t="s">
        <v>556</v>
      </c>
      <c r="AB60" s="7" t="s">
        <v>557</v>
      </c>
      <c r="AC60" s="7"/>
    </row>
    <row r="61" spans="1:29" ht="14.45" customHeight="1" x14ac:dyDescent="0.25">
      <c r="A61" s="9">
        <v>118</v>
      </c>
      <c r="B61" s="55" t="s">
        <v>6</v>
      </c>
      <c r="C61" s="7">
        <v>3</v>
      </c>
      <c r="D61" s="9" t="s">
        <v>10</v>
      </c>
      <c r="E61" s="10">
        <v>46106</v>
      </c>
      <c r="F61" s="9" t="s">
        <v>754</v>
      </c>
      <c r="G61" s="11" t="s">
        <v>755</v>
      </c>
      <c r="H61" s="11" t="s">
        <v>756</v>
      </c>
      <c r="I61" s="11" t="s">
        <v>757</v>
      </c>
      <c r="J61" s="2">
        <v>30000</v>
      </c>
      <c r="K61" s="2">
        <v>3506</v>
      </c>
      <c r="L61" s="2"/>
      <c r="M61" s="2">
        <v>0</v>
      </c>
      <c r="N61" s="12">
        <f t="shared" si="1"/>
        <v>0</v>
      </c>
      <c r="O61" s="10">
        <v>45776</v>
      </c>
      <c r="P61" s="11" t="s">
        <v>182</v>
      </c>
      <c r="Q61" s="11" t="s">
        <v>18</v>
      </c>
      <c r="R61" s="9" t="s">
        <v>23</v>
      </c>
      <c r="S61" s="11" t="s">
        <v>75</v>
      </c>
      <c r="T61" s="11" t="s">
        <v>22</v>
      </c>
      <c r="U61" s="11" t="s">
        <v>22</v>
      </c>
      <c r="V61" s="11" t="s">
        <v>758</v>
      </c>
      <c r="W61" s="11" t="s">
        <v>759</v>
      </c>
      <c r="X61" s="11"/>
      <c r="Y61" s="9" t="s">
        <v>122</v>
      </c>
      <c r="Z61" s="11"/>
      <c r="AA61" s="11"/>
      <c r="AB61" s="11"/>
      <c r="AC61" s="11"/>
    </row>
    <row r="62" spans="1:29" ht="14.45" customHeight="1" x14ac:dyDescent="0.25">
      <c r="A62" s="9">
        <v>202</v>
      </c>
      <c r="B62" s="9" t="s">
        <v>6</v>
      </c>
      <c r="C62" s="11">
        <v>3</v>
      </c>
      <c r="D62" s="9" t="s">
        <v>10</v>
      </c>
      <c r="E62" s="10">
        <v>46106</v>
      </c>
      <c r="F62" s="9" t="s">
        <v>740</v>
      </c>
      <c r="G62" s="11" t="s">
        <v>741</v>
      </c>
      <c r="H62" s="32" t="s">
        <v>742</v>
      </c>
      <c r="I62" s="11" t="s">
        <v>743</v>
      </c>
      <c r="J62" s="2">
        <v>520000</v>
      </c>
      <c r="K62" s="2">
        <v>150</v>
      </c>
      <c r="L62" s="2">
        <v>5680</v>
      </c>
      <c r="M62" s="2">
        <v>65</v>
      </c>
      <c r="N62" s="12">
        <f t="shared" si="1"/>
        <v>37.866666666666667</v>
      </c>
      <c r="O62" s="10">
        <v>46175</v>
      </c>
      <c r="P62" s="11" t="s">
        <v>744</v>
      </c>
      <c r="Q62" s="11" t="s">
        <v>18</v>
      </c>
      <c r="R62" s="9" t="s">
        <v>23</v>
      </c>
      <c r="S62" s="11" t="s">
        <v>75</v>
      </c>
      <c r="T62" s="11" t="s">
        <v>22</v>
      </c>
      <c r="U62" s="11" t="s">
        <v>745</v>
      </c>
      <c r="V62" s="11" t="s">
        <v>805</v>
      </c>
      <c r="W62" s="11" t="s">
        <v>715</v>
      </c>
      <c r="X62" s="11" t="s">
        <v>771</v>
      </c>
      <c r="Y62" s="9" t="s">
        <v>122</v>
      </c>
      <c r="Z62" s="11"/>
      <c r="AA62" s="11"/>
      <c r="AB62" s="11"/>
      <c r="AC62" s="11"/>
    </row>
    <row r="63" spans="1:29" ht="14.45" customHeight="1" x14ac:dyDescent="0.25">
      <c r="A63" s="5">
        <v>119</v>
      </c>
      <c r="B63" s="55" t="s">
        <v>6</v>
      </c>
      <c r="C63" s="7">
        <v>3</v>
      </c>
      <c r="D63" s="5" t="s">
        <v>10</v>
      </c>
      <c r="E63" s="6">
        <v>46107</v>
      </c>
      <c r="F63" s="5" t="s">
        <v>760</v>
      </c>
      <c r="G63" s="7" t="s">
        <v>761</v>
      </c>
      <c r="H63" s="7" t="s">
        <v>762</v>
      </c>
      <c r="I63" s="7" t="s">
        <v>763</v>
      </c>
      <c r="J63" s="1">
        <v>700000</v>
      </c>
      <c r="K63" s="1">
        <v>345750</v>
      </c>
      <c r="L63" s="1"/>
      <c r="M63" s="1">
        <v>0</v>
      </c>
      <c r="N63" s="8">
        <f t="shared" si="1"/>
        <v>0</v>
      </c>
      <c r="O63" s="6">
        <v>46200</v>
      </c>
      <c r="P63" s="7" t="s">
        <v>764</v>
      </c>
      <c r="Q63" s="7" t="s">
        <v>24</v>
      </c>
      <c r="R63" s="5" t="s">
        <v>26</v>
      </c>
      <c r="S63" s="7" t="s">
        <v>75</v>
      </c>
      <c r="T63" s="7" t="s">
        <v>17</v>
      </c>
      <c r="U63" s="7" t="s">
        <v>17</v>
      </c>
      <c r="V63" s="7" t="s">
        <v>765</v>
      </c>
      <c r="W63" s="7" t="s">
        <v>766</v>
      </c>
      <c r="X63" s="7"/>
      <c r="Y63" s="5" t="s">
        <v>122</v>
      </c>
      <c r="Z63" s="7"/>
      <c r="AA63" s="7"/>
      <c r="AB63" s="7"/>
      <c r="AC63" s="7"/>
    </row>
    <row r="64" spans="1:29" s="25" customFormat="1" ht="14.45" customHeight="1" x14ac:dyDescent="0.25">
      <c r="A64" s="9">
        <v>92</v>
      </c>
      <c r="B64" s="5" t="s">
        <v>6</v>
      </c>
      <c r="C64" s="11">
        <v>3</v>
      </c>
      <c r="D64" s="9" t="s">
        <v>13</v>
      </c>
      <c r="E64" s="10">
        <v>46084</v>
      </c>
      <c r="F64" s="9" t="s">
        <v>664</v>
      </c>
      <c r="G64" s="11" t="s">
        <v>39</v>
      </c>
      <c r="H64" s="11" t="s">
        <v>665</v>
      </c>
      <c r="I64" s="11" t="s">
        <v>666</v>
      </c>
      <c r="J64" s="2">
        <v>17000</v>
      </c>
      <c r="K64" s="2">
        <v>18000</v>
      </c>
      <c r="L64" s="2">
        <v>0</v>
      </c>
      <c r="M64" s="2">
        <v>18000</v>
      </c>
      <c r="N64" s="12">
        <f t="shared" si="1"/>
        <v>0</v>
      </c>
      <c r="O64" s="10">
        <v>46050</v>
      </c>
      <c r="P64" s="11" t="s">
        <v>667</v>
      </c>
      <c r="Q64" s="11" t="s">
        <v>16</v>
      </c>
      <c r="R64" s="9" t="s">
        <v>23</v>
      </c>
      <c r="S64" s="11" t="s">
        <v>75</v>
      </c>
      <c r="T64" s="11" t="s">
        <v>12</v>
      </c>
      <c r="U64" s="11" t="s">
        <v>12</v>
      </c>
      <c r="V64" s="11" t="s">
        <v>133</v>
      </c>
      <c r="W64" s="11" t="s">
        <v>84</v>
      </c>
      <c r="X64" s="11"/>
      <c r="Y64" s="9" t="s">
        <v>122</v>
      </c>
      <c r="Z64" s="11"/>
      <c r="AA64" s="11"/>
      <c r="AB64" s="11"/>
      <c r="AC64" s="11"/>
    </row>
    <row r="65" spans="1:29" ht="14.45" customHeight="1" x14ac:dyDescent="0.25">
      <c r="A65" s="5">
        <v>181</v>
      </c>
      <c r="B65" s="5" t="s">
        <v>6</v>
      </c>
      <c r="C65" s="11">
        <v>3</v>
      </c>
      <c r="D65" s="5" t="s">
        <v>13</v>
      </c>
      <c r="E65" s="6">
        <v>46084</v>
      </c>
      <c r="F65" s="5" t="s">
        <v>664</v>
      </c>
      <c r="G65" s="7" t="s">
        <v>39</v>
      </c>
      <c r="H65" s="7" t="s">
        <v>672</v>
      </c>
      <c r="I65" s="7" t="s">
        <v>673</v>
      </c>
      <c r="J65" s="1">
        <v>25000</v>
      </c>
      <c r="K65" s="1">
        <v>24150</v>
      </c>
      <c r="L65" s="1">
        <v>19600</v>
      </c>
      <c r="M65" s="1">
        <v>4550</v>
      </c>
      <c r="N65" s="8">
        <f t="shared" si="1"/>
        <v>0.81159420289855078</v>
      </c>
      <c r="O65" s="6">
        <v>46050</v>
      </c>
      <c r="P65" s="7" t="s">
        <v>639</v>
      </c>
      <c r="Q65" s="7" t="s">
        <v>16</v>
      </c>
      <c r="R65" s="5" t="s">
        <v>23</v>
      </c>
      <c r="S65" s="7" t="s">
        <v>75</v>
      </c>
      <c r="T65" s="7" t="s">
        <v>12</v>
      </c>
      <c r="U65" s="7" t="s">
        <v>84</v>
      </c>
      <c r="V65" s="7" t="s">
        <v>783</v>
      </c>
      <c r="W65" s="7" t="s">
        <v>133</v>
      </c>
      <c r="X65" s="7" t="s">
        <v>784</v>
      </c>
      <c r="Y65" s="5" t="s">
        <v>122</v>
      </c>
      <c r="Z65" s="7"/>
      <c r="AA65" s="7"/>
      <c r="AB65" s="7"/>
      <c r="AC65" s="7"/>
    </row>
    <row r="66" spans="1:29" ht="14.45" customHeight="1" x14ac:dyDescent="0.25">
      <c r="A66" s="26">
        <v>100</v>
      </c>
      <c r="B66" s="20" t="s">
        <v>6</v>
      </c>
      <c r="C66" s="11">
        <v>3</v>
      </c>
      <c r="D66" s="26" t="s">
        <v>13</v>
      </c>
      <c r="E66" s="27">
        <v>46090</v>
      </c>
      <c r="F66" s="26" t="s">
        <v>686</v>
      </c>
      <c r="G66" s="28" t="s">
        <v>687</v>
      </c>
      <c r="H66" s="28" t="s">
        <v>688</v>
      </c>
      <c r="I66" s="28" t="s">
        <v>689</v>
      </c>
      <c r="J66" s="29">
        <v>27000</v>
      </c>
      <c r="K66" s="29">
        <v>15400</v>
      </c>
      <c r="L66" s="31">
        <v>46032</v>
      </c>
      <c r="M66" s="23">
        <v>6000</v>
      </c>
      <c r="N66" s="24">
        <f t="shared" si="1"/>
        <v>2.9890909090909092</v>
      </c>
      <c r="O66" s="27">
        <v>46050</v>
      </c>
      <c r="P66" s="28" t="s">
        <v>690</v>
      </c>
      <c r="Q66" s="28" t="s">
        <v>14</v>
      </c>
      <c r="R66" s="26" t="s">
        <v>26</v>
      </c>
      <c r="S66" s="28" t="s">
        <v>76</v>
      </c>
      <c r="T66" s="28" t="s">
        <v>12</v>
      </c>
      <c r="U66" s="28" t="s">
        <v>12</v>
      </c>
      <c r="V66" s="28" t="s">
        <v>133</v>
      </c>
      <c r="W66" s="28" t="s">
        <v>84</v>
      </c>
      <c r="X66" s="28"/>
      <c r="Y66" s="26" t="s">
        <v>122</v>
      </c>
      <c r="Z66" s="28"/>
      <c r="AA66" s="28"/>
      <c r="AB66" s="28"/>
      <c r="AC66" s="28"/>
    </row>
    <row r="67" spans="1:29" ht="14.45" customHeight="1" x14ac:dyDescent="0.25">
      <c r="A67" s="9">
        <v>192</v>
      </c>
      <c r="B67" s="5" t="s">
        <v>6</v>
      </c>
      <c r="C67" s="11">
        <v>3</v>
      </c>
      <c r="D67" s="9" t="s">
        <v>13</v>
      </c>
      <c r="E67" s="10">
        <v>46091</v>
      </c>
      <c r="F67" s="9" t="s">
        <v>694</v>
      </c>
      <c r="G67" s="11" t="s">
        <v>45</v>
      </c>
      <c r="H67" s="11" t="s">
        <v>704</v>
      </c>
      <c r="I67" s="11" t="s">
        <v>705</v>
      </c>
      <c r="J67" s="2">
        <v>3000</v>
      </c>
      <c r="K67" s="2">
        <v>3025</v>
      </c>
      <c r="L67" s="2">
        <v>2750</v>
      </c>
      <c r="M67" s="2">
        <v>275</v>
      </c>
      <c r="N67" s="12">
        <f t="shared" si="1"/>
        <v>0.90909090909090906</v>
      </c>
      <c r="O67" s="10">
        <v>46050</v>
      </c>
      <c r="P67" s="11" t="s">
        <v>706</v>
      </c>
      <c r="Q67" s="11" t="s">
        <v>19</v>
      </c>
      <c r="R67" s="9" t="s">
        <v>23</v>
      </c>
      <c r="S67" s="11" t="s">
        <v>75</v>
      </c>
      <c r="T67" s="11" t="s">
        <v>12</v>
      </c>
      <c r="U67" s="11" t="s">
        <v>83</v>
      </c>
      <c r="V67" s="11" t="s">
        <v>800</v>
      </c>
      <c r="W67" s="11" t="s">
        <v>133</v>
      </c>
      <c r="X67" s="11" t="s">
        <v>784</v>
      </c>
      <c r="Y67" s="9" t="s">
        <v>122</v>
      </c>
      <c r="Z67" s="11"/>
      <c r="AA67" s="11"/>
      <c r="AB67" s="11"/>
      <c r="AC67" s="11"/>
    </row>
    <row r="68" spans="1:29" ht="14.45" customHeight="1" x14ac:dyDescent="0.25">
      <c r="A68" s="5">
        <v>191</v>
      </c>
      <c r="B68" s="5" t="s">
        <v>6</v>
      </c>
      <c r="C68" s="11">
        <v>3</v>
      </c>
      <c r="D68" s="5" t="s">
        <v>13</v>
      </c>
      <c r="E68" s="6">
        <v>46091</v>
      </c>
      <c r="F68" s="5" t="s">
        <v>694</v>
      </c>
      <c r="G68" s="7" t="s">
        <v>45</v>
      </c>
      <c r="H68" s="7" t="s">
        <v>701</v>
      </c>
      <c r="I68" s="7" t="s">
        <v>702</v>
      </c>
      <c r="J68" s="1">
        <v>4000</v>
      </c>
      <c r="K68" s="1">
        <v>4725</v>
      </c>
      <c r="L68" s="1">
        <v>4500</v>
      </c>
      <c r="M68" s="1">
        <v>750</v>
      </c>
      <c r="N68" s="8">
        <f t="shared" ref="N68:N99" si="2">IFERROR(L68/K68,"")</f>
        <v>0.95238095238095233</v>
      </c>
      <c r="O68" s="6">
        <v>46050</v>
      </c>
      <c r="P68" s="7" t="s">
        <v>703</v>
      </c>
      <c r="Q68" s="7" t="s">
        <v>19</v>
      </c>
      <c r="R68" s="5" t="s">
        <v>23</v>
      </c>
      <c r="S68" s="7" t="s">
        <v>75</v>
      </c>
      <c r="T68" s="7" t="s">
        <v>12</v>
      </c>
      <c r="U68" s="7" t="s">
        <v>83</v>
      </c>
      <c r="V68" s="7" t="s">
        <v>799</v>
      </c>
      <c r="W68" s="7" t="s">
        <v>133</v>
      </c>
      <c r="X68" s="7" t="s">
        <v>784</v>
      </c>
      <c r="Y68" s="5" t="s">
        <v>122</v>
      </c>
      <c r="Z68" s="7"/>
      <c r="AA68" s="7"/>
      <c r="AB68" s="7"/>
      <c r="AC68" s="7"/>
    </row>
    <row r="69" spans="1:29" ht="14.45" customHeight="1" x14ac:dyDescent="0.25">
      <c r="A69" s="5">
        <v>189</v>
      </c>
      <c r="B69" s="5" t="s">
        <v>6</v>
      </c>
      <c r="C69" s="11">
        <v>3</v>
      </c>
      <c r="D69" s="5" t="s">
        <v>13</v>
      </c>
      <c r="E69" s="6">
        <v>46091</v>
      </c>
      <c r="F69" s="5" t="s">
        <v>694</v>
      </c>
      <c r="G69" s="7" t="s">
        <v>45</v>
      </c>
      <c r="H69" s="7" t="s">
        <v>695</v>
      </c>
      <c r="I69" s="7" t="s">
        <v>696</v>
      </c>
      <c r="J69" s="1">
        <v>5000</v>
      </c>
      <c r="K69" s="1">
        <v>5400</v>
      </c>
      <c r="L69" s="2">
        <v>4400</v>
      </c>
      <c r="M69" s="1">
        <v>1000</v>
      </c>
      <c r="N69" s="8">
        <f t="shared" si="2"/>
        <v>0.81481481481481477</v>
      </c>
      <c r="O69" s="6">
        <v>46050</v>
      </c>
      <c r="P69" s="7" t="s">
        <v>697</v>
      </c>
      <c r="Q69" s="7" t="s">
        <v>19</v>
      </c>
      <c r="R69" s="5" t="s">
        <v>23</v>
      </c>
      <c r="S69" s="7" t="s">
        <v>75</v>
      </c>
      <c r="T69" s="7" t="s">
        <v>12</v>
      </c>
      <c r="U69" s="7" t="s">
        <v>83</v>
      </c>
      <c r="V69" s="7" t="s">
        <v>799</v>
      </c>
      <c r="W69" s="7" t="s">
        <v>133</v>
      </c>
      <c r="X69" s="7" t="s">
        <v>784</v>
      </c>
      <c r="Y69" s="5" t="s">
        <v>122</v>
      </c>
      <c r="Z69" s="7"/>
      <c r="AA69" s="7"/>
      <c r="AB69" s="7"/>
      <c r="AC69" s="7"/>
    </row>
    <row r="70" spans="1:29" ht="14.45" customHeight="1" x14ac:dyDescent="0.25">
      <c r="A70" s="9">
        <v>204</v>
      </c>
      <c r="B70" s="9" t="s">
        <v>6</v>
      </c>
      <c r="C70" s="11">
        <v>3</v>
      </c>
      <c r="D70" s="9" t="s">
        <v>10</v>
      </c>
      <c r="E70" s="10">
        <v>46106</v>
      </c>
      <c r="F70" s="9" t="s">
        <v>749</v>
      </c>
      <c r="G70" s="11" t="s">
        <v>750</v>
      </c>
      <c r="H70" s="32" t="s">
        <v>751</v>
      </c>
      <c r="I70" s="11" t="s">
        <v>752</v>
      </c>
      <c r="J70" s="2">
        <v>40000</v>
      </c>
      <c r="K70" s="2">
        <v>150</v>
      </c>
      <c r="L70" s="2">
        <v>0</v>
      </c>
      <c r="M70" s="2">
        <v>150</v>
      </c>
      <c r="N70" s="12">
        <f t="shared" si="2"/>
        <v>0</v>
      </c>
      <c r="O70" s="10">
        <v>45855</v>
      </c>
      <c r="P70" s="11" t="s">
        <v>753</v>
      </c>
      <c r="Q70" s="11" t="s">
        <v>18</v>
      </c>
      <c r="R70" s="9" t="s">
        <v>23</v>
      </c>
      <c r="S70" s="11" t="s">
        <v>75</v>
      </c>
      <c r="T70" s="11" t="s">
        <v>22</v>
      </c>
      <c r="U70" s="11" t="s">
        <v>86</v>
      </c>
      <c r="V70" s="11" t="s">
        <v>807</v>
      </c>
      <c r="W70" s="11" t="s">
        <v>715</v>
      </c>
      <c r="X70" s="11" t="s">
        <v>771</v>
      </c>
      <c r="Y70" s="9" t="s">
        <v>122</v>
      </c>
      <c r="Z70" s="11"/>
      <c r="AA70" s="11"/>
      <c r="AB70" s="11"/>
      <c r="AC70" s="11"/>
    </row>
    <row r="71" spans="1:29" ht="14.45" customHeight="1" x14ac:dyDescent="0.25">
      <c r="A71" s="9">
        <v>208</v>
      </c>
      <c r="B71" s="9" t="s">
        <v>6</v>
      </c>
      <c r="C71" s="11">
        <v>3</v>
      </c>
      <c r="D71" s="9" t="s">
        <v>10</v>
      </c>
      <c r="E71" s="10">
        <v>46112</v>
      </c>
      <c r="F71" s="9" t="s">
        <v>378</v>
      </c>
      <c r="G71" s="11" t="s">
        <v>47</v>
      </c>
      <c r="H71" s="32" t="s">
        <v>380</v>
      </c>
      <c r="I71" s="11" t="s">
        <v>381</v>
      </c>
      <c r="J71" s="2">
        <v>230000</v>
      </c>
      <c r="K71" s="2">
        <v>2755</v>
      </c>
      <c r="L71" s="2">
        <v>2755</v>
      </c>
      <c r="M71" s="2">
        <v>0</v>
      </c>
      <c r="N71" s="12">
        <f t="shared" si="2"/>
        <v>1</v>
      </c>
      <c r="O71" s="10">
        <v>46118</v>
      </c>
      <c r="P71" s="11" t="s">
        <v>768</v>
      </c>
      <c r="Q71" s="11" t="s">
        <v>18</v>
      </c>
      <c r="R71" s="9" t="s">
        <v>23</v>
      </c>
      <c r="S71" s="11" t="s">
        <v>75</v>
      </c>
      <c r="T71" s="11" t="s">
        <v>22</v>
      </c>
      <c r="U71" s="11" t="s">
        <v>809</v>
      </c>
      <c r="V71" s="11" t="s">
        <v>810</v>
      </c>
      <c r="W71" s="11" t="s">
        <v>769</v>
      </c>
      <c r="X71" s="11" t="s">
        <v>771</v>
      </c>
      <c r="Y71" s="9" t="s">
        <v>122</v>
      </c>
      <c r="Z71" s="11"/>
      <c r="AA71" s="11"/>
      <c r="AB71" s="11"/>
      <c r="AC71" s="11"/>
    </row>
    <row r="72" spans="1:29" ht="14.45" customHeight="1" x14ac:dyDescent="0.25">
      <c r="A72" s="9">
        <v>200</v>
      </c>
      <c r="B72" s="9" t="s">
        <v>6</v>
      </c>
      <c r="C72" s="11">
        <v>3</v>
      </c>
      <c r="D72" s="9" t="s">
        <v>10</v>
      </c>
      <c r="E72" s="10">
        <v>46105</v>
      </c>
      <c r="F72" s="9" t="s">
        <v>514</v>
      </c>
      <c r="G72" s="11" t="s">
        <v>45</v>
      </c>
      <c r="H72" s="32" t="s">
        <v>593</v>
      </c>
      <c r="I72" s="11" t="s">
        <v>732</v>
      </c>
      <c r="J72" s="2">
        <v>10000</v>
      </c>
      <c r="K72" s="2">
        <v>5745</v>
      </c>
      <c r="L72" s="2">
        <v>5680</v>
      </c>
      <c r="M72" s="2">
        <v>65</v>
      </c>
      <c r="N72" s="12">
        <f t="shared" si="2"/>
        <v>0.98868581375108788</v>
      </c>
      <c r="O72" s="10">
        <v>46099</v>
      </c>
      <c r="P72" s="11" t="s">
        <v>733</v>
      </c>
      <c r="Q72" s="11" t="s">
        <v>18</v>
      </c>
      <c r="R72" s="9" t="s">
        <v>23</v>
      </c>
      <c r="S72" s="11" t="s">
        <v>75</v>
      </c>
      <c r="T72" s="11" t="s">
        <v>22</v>
      </c>
      <c r="U72" s="11" t="s">
        <v>734</v>
      </c>
      <c r="V72" s="11" t="s">
        <v>806</v>
      </c>
      <c r="W72" s="11" t="s">
        <v>715</v>
      </c>
      <c r="X72" s="11" t="s">
        <v>771</v>
      </c>
      <c r="Y72" s="9" t="s">
        <v>122</v>
      </c>
      <c r="Z72" s="11"/>
      <c r="AA72" s="11"/>
      <c r="AB72" s="11"/>
      <c r="AC72" s="11"/>
    </row>
    <row r="73" spans="1:29" ht="14.45" customHeight="1" x14ac:dyDescent="0.25">
      <c r="A73" s="5">
        <v>203</v>
      </c>
      <c r="B73" s="5" t="s">
        <v>6</v>
      </c>
      <c r="C73" s="7">
        <v>3</v>
      </c>
      <c r="D73" s="5" t="s">
        <v>10</v>
      </c>
      <c r="E73" s="6">
        <v>46106</v>
      </c>
      <c r="F73" s="5" t="s">
        <v>746</v>
      </c>
      <c r="G73" s="7" t="s">
        <v>741</v>
      </c>
      <c r="H73" s="32" t="s">
        <v>747</v>
      </c>
      <c r="I73" s="7" t="s">
        <v>748</v>
      </c>
      <c r="J73" s="1">
        <v>1620000</v>
      </c>
      <c r="K73" s="1">
        <v>450</v>
      </c>
      <c r="L73" s="1">
        <v>0</v>
      </c>
      <c r="M73" s="1">
        <v>450</v>
      </c>
      <c r="N73" s="8">
        <f t="shared" si="2"/>
        <v>0</v>
      </c>
      <c r="O73" s="6">
        <v>46002</v>
      </c>
      <c r="P73" s="7" t="s">
        <v>744</v>
      </c>
      <c r="Q73" s="7" t="s">
        <v>18</v>
      </c>
      <c r="R73" s="5" t="s">
        <v>23</v>
      </c>
      <c r="S73" s="7" t="s">
        <v>75</v>
      </c>
      <c r="T73" s="7" t="s">
        <v>22</v>
      </c>
      <c r="U73" s="7" t="s">
        <v>86</v>
      </c>
      <c r="V73" s="7" t="s">
        <v>805</v>
      </c>
      <c r="W73" s="7" t="s">
        <v>715</v>
      </c>
      <c r="X73" s="7" t="s">
        <v>771</v>
      </c>
      <c r="Y73" s="5" t="s">
        <v>122</v>
      </c>
      <c r="Z73" s="7"/>
      <c r="AA73" s="7"/>
      <c r="AB73" s="7"/>
      <c r="AC73" s="7"/>
    </row>
    <row r="74" spans="1:29" s="46" customFormat="1" ht="14.45" customHeight="1" x14ac:dyDescent="0.25">
      <c r="A74" s="41">
        <v>78</v>
      </c>
      <c r="B74" s="50" t="s">
        <v>5</v>
      </c>
      <c r="C74" s="52">
        <v>2</v>
      </c>
      <c r="D74" s="41" t="s">
        <v>10</v>
      </c>
      <c r="E74" s="42">
        <v>46071</v>
      </c>
      <c r="F74" s="41" t="s">
        <v>598</v>
      </c>
      <c r="G74" s="43" t="s">
        <v>45</v>
      </c>
      <c r="H74" s="43" t="s">
        <v>599</v>
      </c>
      <c r="I74" s="43" t="s">
        <v>600</v>
      </c>
      <c r="J74" s="44">
        <v>10000</v>
      </c>
      <c r="K74" s="44">
        <v>9295</v>
      </c>
      <c r="L74" s="44">
        <v>4800</v>
      </c>
      <c r="M74" s="1">
        <f>+K74-L74</f>
        <v>4495</v>
      </c>
      <c r="N74" s="45">
        <f t="shared" si="2"/>
        <v>0.51640667025282405</v>
      </c>
      <c r="O74" s="42">
        <v>46035</v>
      </c>
      <c r="P74" s="43" t="s">
        <v>601</v>
      </c>
      <c r="Q74" s="43" t="s">
        <v>37</v>
      </c>
      <c r="R74" s="41" t="s">
        <v>23</v>
      </c>
      <c r="S74" s="43" t="s">
        <v>11</v>
      </c>
      <c r="T74" s="28" t="s">
        <v>12</v>
      </c>
      <c r="U74" s="43" t="s">
        <v>82</v>
      </c>
      <c r="V74" s="43"/>
      <c r="W74" s="43"/>
      <c r="X74" s="43"/>
      <c r="Y74" s="41" t="s">
        <v>602</v>
      </c>
      <c r="Z74" s="43" t="s">
        <v>603</v>
      </c>
      <c r="AA74" s="43"/>
      <c r="AB74" s="43"/>
      <c r="AC74" s="43"/>
    </row>
    <row r="75" spans="1:29" ht="14.45" customHeight="1" x14ac:dyDescent="0.25">
      <c r="A75" s="9">
        <v>68</v>
      </c>
      <c r="B75" s="55" t="s">
        <v>5</v>
      </c>
      <c r="C75" s="7">
        <v>2</v>
      </c>
      <c r="D75" s="9" t="s">
        <v>15</v>
      </c>
      <c r="E75" s="10">
        <v>46065</v>
      </c>
      <c r="F75" s="9" t="s">
        <v>551</v>
      </c>
      <c r="G75" s="11" t="s">
        <v>72</v>
      </c>
      <c r="H75" s="11" t="s">
        <v>558</v>
      </c>
      <c r="I75" s="11" t="s">
        <v>559</v>
      </c>
      <c r="J75" s="2">
        <v>1400</v>
      </c>
      <c r="K75" s="2">
        <v>0</v>
      </c>
      <c r="L75" s="2">
        <v>0</v>
      </c>
      <c r="M75" s="2">
        <v>0</v>
      </c>
      <c r="N75" s="12" t="str">
        <f t="shared" si="2"/>
        <v/>
      </c>
      <c r="O75" s="10">
        <v>46058</v>
      </c>
      <c r="P75" s="11" t="s">
        <v>554</v>
      </c>
      <c r="Q75" s="11" t="s">
        <v>46</v>
      </c>
      <c r="R75" s="9" t="s">
        <v>23</v>
      </c>
      <c r="S75" s="11" t="s">
        <v>11</v>
      </c>
      <c r="T75" s="11" t="s">
        <v>34</v>
      </c>
      <c r="U75" s="11" t="s">
        <v>82</v>
      </c>
      <c r="V75" s="11" t="s">
        <v>555</v>
      </c>
      <c r="W75" s="11" t="s">
        <v>229</v>
      </c>
      <c r="X75" s="11"/>
      <c r="Y75" s="9" t="s">
        <v>122</v>
      </c>
      <c r="Z75" s="11"/>
      <c r="AA75" s="11" t="s">
        <v>556</v>
      </c>
      <c r="AB75" s="11" t="s">
        <v>557</v>
      </c>
      <c r="AC75" s="11"/>
    </row>
    <row r="76" spans="1:29" s="46" customFormat="1" ht="14.45" customHeight="1" x14ac:dyDescent="0.25">
      <c r="A76" s="41">
        <v>88</v>
      </c>
      <c r="B76" s="50" t="s">
        <v>5</v>
      </c>
      <c r="C76" s="52">
        <v>2</v>
      </c>
      <c r="D76" s="41" t="s">
        <v>10</v>
      </c>
      <c r="E76" s="42">
        <v>46078</v>
      </c>
      <c r="F76" s="41" t="s">
        <v>648</v>
      </c>
      <c r="G76" s="43" t="s">
        <v>45</v>
      </c>
      <c r="H76" s="43" t="s">
        <v>649</v>
      </c>
      <c r="I76" s="43" t="s">
        <v>650</v>
      </c>
      <c r="J76" s="44">
        <v>3000</v>
      </c>
      <c r="K76" s="44">
        <v>3000</v>
      </c>
      <c r="L76" s="44">
        <v>2977</v>
      </c>
      <c r="M76" s="1">
        <f>+K76-L76</f>
        <v>23</v>
      </c>
      <c r="N76" s="45">
        <f t="shared" si="2"/>
        <v>0.99233333333333329</v>
      </c>
      <c r="O76" s="42">
        <v>46048</v>
      </c>
      <c r="P76" s="43" t="s">
        <v>651</v>
      </c>
      <c r="Q76" s="43" t="s">
        <v>18</v>
      </c>
      <c r="R76" s="41" t="s">
        <v>23</v>
      </c>
      <c r="S76" s="43" t="s">
        <v>11</v>
      </c>
      <c r="T76" s="43" t="s">
        <v>44</v>
      </c>
      <c r="U76" s="43" t="s">
        <v>82</v>
      </c>
      <c r="V76" s="43" t="s">
        <v>454</v>
      </c>
      <c r="W76" s="43" t="s">
        <v>184</v>
      </c>
      <c r="X76" s="43"/>
      <c r="Y76" s="41" t="s">
        <v>122</v>
      </c>
      <c r="Z76" s="43" t="s">
        <v>652</v>
      </c>
      <c r="AA76" s="43"/>
      <c r="AB76" s="43"/>
      <c r="AC76" s="43"/>
    </row>
    <row r="77" spans="1:29" ht="14.45" customHeight="1" x14ac:dyDescent="0.25">
      <c r="A77" s="5">
        <v>83</v>
      </c>
      <c r="B77" s="55" t="s">
        <v>5</v>
      </c>
      <c r="C77" s="7">
        <v>2</v>
      </c>
      <c r="D77" s="5" t="s">
        <v>10</v>
      </c>
      <c r="E77" s="6">
        <v>46073</v>
      </c>
      <c r="F77" s="5" t="s">
        <v>298</v>
      </c>
      <c r="G77" s="7" t="s">
        <v>69</v>
      </c>
      <c r="H77" s="7" t="s">
        <v>625</v>
      </c>
      <c r="I77" s="7" t="s">
        <v>626</v>
      </c>
      <c r="J77" s="1">
        <v>25000</v>
      </c>
      <c r="K77" s="1">
        <v>26000</v>
      </c>
      <c r="L77" s="1">
        <v>10000</v>
      </c>
      <c r="M77" s="1">
        <f>+K77-L77</f>
        <v>16000</v>
      </c>
      <c r="N77" s="8">
        <f t="shared" si="2"/>
        <v>0.38461538461538464</v>
      </c>
      <c r="O77" s="6">
        <v>46028</v>
      </c>
      <c r="P77" s="7" t="s">
        <v>627</v>
      </c>
      <c r="Q77" s="7" t="s">
        <v>14</v>
      </c>
      <c r="R77" s="5" t="s">
        <v>26</v>
      </c>
      <c r="S77" s="7" t="s">
        <v>11</v>
      </c>
      <c r="T77" s="28" t="s">
        <v>12</v>
      </c>
      <c r="U77" s="7" t="s">
        <v>82</v>
      </c>
      <c r="V77" s="7"/>
      <c r="W77" s="7"/>
      <c r="X77" s="7"/>
      <c r="Y77" s="5" t="s">
        <v>122</v>
      </c>
      <c r="Z77" s="7" t="s">
        <v>628</v>
      </c>
      <c r="AA77" s="7"/>
      <c r="AB77" s="7"/>
      <c r="AC77" s="7"/>
    </row>
    <row r="78" spans="1:29" ht="14.45" customHeight="1" x14ac:dyDescent="0.25">
      <c r="A78" s="9">
        <v>84</v>
      </c>
      <c r="B78" s="55" t="s">
        <v>5</v>
      </c>
      <c r="C78" s="7">
        <v>2</v>
      </c>
      <c r="D78" s="9" t="s">
        <v>10</v>
      </c>
      <c r="E78" s="10">
        <v>46073</v>
      </c>
      <c r="F78" s="9" t="s">
        <v>298</v>
      </c>
      <c r="G78" s="11" t="s">
        <v>69</v>
      </c>
      <c r="H78" s="11" t="s">
        <v>629</v>
      </c>
      <c r="I78" s="11" t="s">
        <v>630</v>
      </c>
      <c r="J78" s="2">
        <v>37500</v>
      </c>
      <c r="K78" s="2">
        <v>39000</v>
      </c>
      <c r="L78" s="2">
        <v>24500</v>
      </c>
      <c r="M78" s="1">
        <f>+K78-L78</f>
        <v>14500</v>
      </c>
      <c r="N78" s="12">
        <f t="shared" si="2"/>
        <v>0.62820512820512819</v>
      </c>
      <c r="O78" s="10">
        <v>46028</v>
      </c>
      <c r="P78" s="11" t="s">
        <v>631</v>
      </c>
      <c r="Q78" s="11" t="s">
        <v>16</v>
      </c>
      <c r="R78" s="9" t="s">
        <v>23</v>
      </c>
      <c r="S78" s="11" t="s">
        <v>11</v>
      </c>
      <c r="T78" s="28" t="s">
        <v>12</v>
      </c>
      <c r="U78" s="11" t="s">
        <v>82</v>
      </c>
      <c r="V78" s="11"/>
      <c r="W78" s="11"/>
      <c r="X78" s="11"/>
      <c r="Y78" s="9" t="s">
        <v>122</v>
      </c>
      <c r="Z78" s="11" t="s">
        <v>632</v>
      </c>
      <c r="AA78" s="11"/>
      <c r="AB78" s="11"/>
      <c r="AC78" s="11"/>
    </row>
    <row r="79" spans="1:29" ht="14.45" customHeight="1" x14ac:dyDescent="0.25">
      <c r="A79" s="5">
        <v>49</v>
      </c>
      <c r="B79" s="55" t="s">
        <v>5</v>
      </c>
      <c r="C79" s="7">
        <v>2</v>
      </c>
      <c r="D79" s="5" t="s">
        <v>10</v>
      </c>
      <c r="E79" s="6">
        <v>46056</v>
      </c>
      <c r="F79" s="5" t="s">
        <v>450</v>
      </c>
      <c r="G79" s="7" t="s">
        <v>39</v>
      </c>
      <c r="H79" s="7" t="s">
        <v>451</v>
      </c>
      <c r="I79" s="7" t="s">
        <v>452</v>
      </c>
      <c r="J79" s="1">
        <v>23000</v>
      </c>
      <c r="K79" s="1">
        <v>22885</v>
      </c>
      <c r="L79" s="1">
        <v>16800</v>
      </c>
      <c r="M79" s="1">
        <v>6085</v>
      </c>
      <c r="N79" s="8">
        <f t="shared" si="2"/>
        <v>0.73410530915446803</v>
      </c>
      <c r="O79" s="6">
        <v>46038</v>
      </c>
      <c r="P79" s="7" t="s">
        <v>453</v>
      </c>
      <c r="Q79" s="7" t="s">
        <v>14</v>
      </c>
      <c r="R79" s="5" t="s">
        <v>26</v>
      </c>
      <c r="S79" s="7" t="s">
        <v>11</v>
      </c>
      <c r="T79" s="7" t="s">
        <v>12</v>
      </c>
      <c r="U79" s="7" t="s">
        <v>84</v>
      </c>
      <c r="V79" s="7" t="s">
        <v>340</v>
      </c>
      <c r="W79" s="7" t="s">
        <v>168</v>
      </c>
      <c r="X79" s="7" t="s">
        <v>454</v>
      </c>
      <c r="Y79" s="5" t="s">
        <v>122</v>
      </c>
      <c r="Z79" s="7" t="s">
        <v>455</v>
      </c>
      <c r="AA79" s="7" t="s">
        <v>456</v>
      </c>
      <c r="AB79" s="7" t="s">
        <v>448</v>
      </c>
      <c r="AC79" s="7" t="s">
        <v>449</v>
      </c>
    </row>
    <row r="80" spans="1:29" ht="14.45" customHeight="1" x14ac:dyDescent="0.25">
      <c r="A80" s="5">
        <v>73</v>
      </c>
      <c r="B80" s="55" t="s">
        <v>5</v>
      </c>
      <c r="C80" s="7">
        <v>2</v>
      </c>
      <c r="D80" s="5" t="s">
        <v>10</v>
      </c>
      <c r="E80" s="6">
        <v>46071</v>
      </c>
      <c r="F80" s="5" t="s">
        <v>155</v>
      </c>
      <c r="G80" s="7" t="s">
        <v>39</v>
      </c>
      <c r="H80" s="7" t="s">
        <v>574</v>
      </c>
      <c r="I80" s="7" t="s">
        <v>575</v>
      </c>
      <c r="J80" s="1">
        <v>20000</v>
      </c>
      <c r="K80" s="1">
        <v>19935</v>
      </c>
      <c r="L80" s="1">
        <v>6750</v>
      </c>
      <c r="M80" s="1">
        <f>+K80-L80</f>
        <v>13185</v>
      </c>
      <c r="N80" s="8">
        <f t="shared" si="2"/>
        <v>0.33860045146726864</v>
      </c>
      <c r="O80" s="6">
        <v>46049</v>
      </c>
      <c r="P80" s="7" t="s">
        <v>576</v>
      </c>
      <c r="Q80" s="7" t="s">
        <v>16</v>
      </c>
      <c r="R80" s="5" t="s">
        <v>23</v>
      </c>
      <c r="S80" s="7" t="s">
        <v>76</v>
      </c>
      <c r="T80" s="7" t="s">
        <v>12</v>
      </c>
      <c r="U80" s="7" t="s">
        <v>84</v>
      </c>
      <c r="V80" s="7" t="s">
        <v>577</v>
      </c>
      <c r="W80" s="7" t="s">
        <v>168</v>
      </c>
      <c r="X80" s="7"/>
      <c r="Y80" s="5" t="s">
        <v>122</v>
      </c>
      <c r="Z80" s="7" t="s">
        <v>578</v>
      </c>
      <c r="AA80" s="7"/>
      <c r="AB80" s="7"/>
      <c r="AC80" s="7"/>
    </row>
    <row r="81" spans="1:29" ht="14.45" customHeight="1" x14ac:dyDescent="0.25">
      <c r="A81" s="5">
        <v>47</v>
      </c>
      <c r="B81" s="55" t="s">
        <v>5</v>
      </c>
      <c r="C81" s="7">
        <v>2</v>
      </c>
      <c r="D81" s="5" t="s">
        <v>15</v>
      </c>
      <c r="E81" s="6">
        <v>46055</v>
      </c>
      <c r="F81" s="5" t="s">
        <v>433</v>
      </c>
      <c r="G81" s="7" t="s">
        <v>57</v>
      </c>
      <c r="H81" s="7" t="s">
        <v>434</v>
      </c>
      <c r="I81" s="7" t="s">
        <v>435</v>
      </c>
      <c r="J81" s="1">
        <v>120000</v>
      </c>
      <c r="K81" s="1">
        <v>0</v>
      </c>
      <c r="L81" s="1">
        <v>0</v>
      </c>
      <c r="M81" s="1">
        <v>0</v>
      </c>
      <c r="N81" s="8" t="str">
        <f t="shared" si="2"/>
        <v/>
      </c>
      <c r="O81" s="6">
        <v>46036</v>
      </c>
      <c r="P81" s="7" t="s">
        <v>436</v>
      </c>
      <c r="Q81" s="7" t="s">
        <v>14</v>
      </c>
      <c r="R81" s="5" t="s">
        <v>26</v>
      </c>
      <c r="S81" s="7" t="s">
        <v>11</v>
      </c>
      <c r="T81" s="7" t="s">
        <v>12</v>
      </c>
      <c r="U81" s="7" t="s">
        <v>83</v>
      </c>
      <c r="V81" s="7" t="s">
        <v>437</v>
      </c>
      <c r="W81" s="7" t="s">
        <v>168</v>
      </c>
      <c r="X81" s="7"/>
      <c r="Y81" s="5" t="s">
        <v>122</v>
      </c>
      <c r="Z81" s="7" t="s">
        <v>438</v>
      </c>
      <c r="AA81" s="7" t="s">
        <v>439</v>
      </c>
      <c r="AB81" s="7" t="s">
        <v>440</v>
      </c>
      <c r="AC81" s="7"/>
    </row>
    <row r="82" spans="1:29" x14ac:dyDescent="0.25">
      <c r="A82" s="5">
        <v>93</v>
      </c>
      <c r="B82" s="5" t="s">
        <v>6</v>
      </c>
      <c r="C82" s="7">
        <v>3</v>
      </c>
      <c r="D82" s="5" t="s">
        <v>15</v>
      </c>
      <c r="E82" s="6">
        <v>46084</v>
      </c>
      <c r="F82" s="5" t="s">
        <v>668</v>
      </c>
      <c r="G82" s="7" t="s">
        <v>39</v>
      </c>
      <c r="H82" s="7" t="s">
        <v>669</v>
      </c>
      <c r="I82" s="7" t="s">
        <v>670</v>
      </c>
      <c r="J82" s="1">
        <v>54000</v>
      </c>
      <c r="K82" s="1">
        <v>1</v>
      </c>
      <c r="L82" s="1"/>
      <c r="M82" s="1">
        <v>0</v>
      </c>
      <c r="N82" s="8">
        <f t="shared" si="2"/>
        <v>0</v>
      </c>
      <c r="O82" s="6">
        <v>45796</v>
      </c>
      <c r="P82" s="7" t="s">
        <v>671</v>
      </c>
      <c r="Q82" s="7" t="s">
        <v>55</v>
      </c>
      <c r="R82" s="5" t="s">
        <v>23</v>
      </c>
      <c r="S82" s="7" t="s">
        <v>76</v>
      </c>
      <c r="T82" s="7" t="s">
        <v>17</v>
      </c>
      <c r="U82" s="7" t="s">
        <v>82</v>
      </c>
      <c r="V82" s="7"/>
      <c r="W82" s="7"/>
      <c r="X82" s="7"/>
      <c r="Y82" s="5" t="s">
        <v>122</v>
      </c>
      <c r="Z82" s="7"/>
      <c r="AA82" s="7"/>
      <c r="AB82" s="7"/>
      <c r="AC82" s="7"/>
    </row>
    <row r="83" spans="1:29" ht="14.45" customHeight="1" x14ac:dyDescent="0.25">
      <c r="A83" s="5">
        <v>89</v>
      </c>
      <c r="B83" s="5" t="s">
        <v>5</v>
      </c>
      <c r="C83" s="7">
        <v>2</v>
      </c>
      <c r="D83" s="5" t="s">
        <v>13</v>
      </c>
      <c r="E83" s="6">
        <v>46078</v>
      </c>
      <c r="F83" s="5" t="s">
        <v>642</v>
      </c>
      <c r="G83" s="11" t="s">
        <v>42</v>
      </c>
      <c r="H83" s="7" t="s">
        <v>653</v>
      </c>
      <c r="I83" s="7" t="s">
        <v>654</v>
      </c>
      <c r="J83" s="1">
        <v>7400</v>
      </c>
      <c r="K83" s="1">
        <v>8800</v>
      </c>
      <c r="L83" s="1">
        <v>7890</v>
      </c>
      <c r="M83" s="1">
        <v>910</v>
      </c>
      <c r="N83" s="8">
        <f t="shared" si="2"/>
        <v>0.89659090909090911</v>
      </c>
      <c r="O83" s="6">
        <v>46078</v>
      </c>
      <c r="P83" s="7" t="s">
        <v>655</v>
      </c>
      <c r="Q83" s="7" t="s">
        <v>16</v>
      </c>
      <c r="R83" s="5" t="s">
        <v>23</v>
      </c>
      <c r="S83" s="7" t="s">
        <v>75</v>
      </c>
      <c r="T83" s="7" t="s">
        <v>12</v>
      </c>
      <c r="U83" s="7" t="s">
        <v>83</v>
      </c>
      <c r="V83" s="7" t="s">
        <v>167</v>
      </c>
      <c r="W83" s="7" t="s">
        <v>168</v>
      </c>
      <c r="X83" s="7" t="s">
        <v>359</v>
      </c>
      <c r="Y83" s="5" t="s">
        <v>122</v>
      </c>
      <c r="Z83" s="7" t="s">
        <v>646</v>
      </c>
      <c r="AA83" s="7" t="s">
        <v>656</v>
      </c>
      <c r="AB83" s="7"/>
      <c r="AC83" s="7"/>
    </row>
    <row r="84" spans="1:29" ht="14.45" customHeight="1" x14ac:dyDescent="0.25">
      <c r="A84" s="5">
        <v>85</v>
      </c>
      <c r="B84" s="55" t="s">
        <v>5</v>
      </c>
      <c r="C84" s="7">
        <v>2</v>
      </c>
      <c r="D84" s="5" t="s">
        <v>10</v>
      </c>
      <c r="E84" s="6">
        <v>46073</v>
      </c>
      <c r="F84" s="5" t="s">
        <v>151</v>
      </c>
      <c r="G84" s="7" t="s">
        <v>69</v>
      </c>
      <c r="H84" s="7" t="s">
        <v>633</v>
      </c>
      <c r="I84" s="7" t="s">
        <v>634</v>
      </c>
      <c r="J84" s="1">
        <v>40000</v>
      </c>
      <c r="K84" s="1">
        <v>36500</v>
      </c>
      <c r="L84" s="1">
        <v>14000</v>
      </c>
      <c r="M84" s="1">
        <f>+K84-L84</f>
        <v>22500</v>
      </c>
      <c r="N84" s="8">
        <f t="shared" si="2"/>
        <v>0.38356164383561642</v>
      </c>
      <c r="O84" s="6">
        <v>46056</v>
      </c>
      <c r="P84" s="7" t="s">
        <v>635</v>
      </c>
      <c r="Q84" s="7" t="s">
        <v>14</v>
      </c>
      <c r="R84" s="5" t="s">
        <v>26</v>
      </c>
      <c r="S84" s="7" t="s">
        <v>11</v>
      </c>
      <c r="T84" s="28" t="s">
        <v>12</v>
      </c>
      <c r="U84" s="7" t="s">
        <v>82</v>
      </c>
      <c r="V84" s="7"/>
      <c r="W84" s="7"/>
      <c r="X84" s="7"/>
      <c r="Y84" s="5" t="s">
        <v>122</v>
      </c>
      <c r="Z84" s="7" t="s">
        <v>209</v>
      </c>
      <c r="AA84" s="7"/>
      <c r="AB84" s="7"/>
      <c r="AC84" s="7"/>
    </row>
    <row r="85" spans="1:29" ht="14.45" customHeight="1" x14ac:dyDescent="0.25">
      <c r="A85" s="9">
        <v>72</v>
      </c>
      <c r="B85" s="55" t="s">
        <v>5</v>
      </c>
      <c r="C85" s="7">
        <v>2</v>
      </c>
      <c r="D85" s="9" t="s">
        <v>10</v>
      </c>
      <c r="E85" s="10">
        <v>46070</v>
      </c>
      <c r="F85" s="9" t="s">
        <v>571</v>
      </c>
      <c r="G85" s="11" t="s">
        <v>61</v>
      </c>
      <c r="H85" s="11" t="s">
        <v>572</v>
      </c>
      <c r="I85" s="11" t="s">
        <v>573</v>
      </c>
      <c r="J85" s="2">
        <v>2090</v>
      </c>
      <c r="K85" s="2">
        <v>2100</v>
      </c>
      <c r="L85" s="2">
        <v>2100</v>
      </c>
      <c r="M85" s="2">
        <v>0</v>
      </c>
      <c r="N85" s="12">
        <f t="shared" si="2"/>
        <v>1</v>
      </c>
      <c r="O85" s="10">
        <v>46049</v>
      </c>
      <c r="P85" s="11" t="s">
        <v>182</v>
      </c>
      <c r="Q85" s="11" t="s">
        <v>18</v>
      </c>
      <c r="R85" s="9" t="s">
        <v>23</v>
      </c>
      <c r="S85" s="11" t="s">
        <v>11</v>
      </c>
      <c r="T85" s="11" t="s">
        <v>25</v>
      </c>
      <c r="U85" s="11" t="s">
        <v>91</v>
      </c>
      <c r="V85" s="11" t="s">
        <v>349</v>
      </c>
      <c r="W85" s="11" t="s">
        <v>194</v>
      </c>
      <c r="X85" s="11"/>
      <c r="Y85" s="9" t="s">
        <v>122</v>
      </c>
      <c r="Z85" s="11"/>
      <c r="AA85" s="11"/>
      <c r="AB85" s="11"/>
      <c r="AC85" s="11"/>
    </row>
    <row r="86" spans="1:29" ht="14.45" customHeight="1" x14ac:dyDescent="0.25">
      <c r="A86" s="5">
        <v>59</v>
      </c>
      <c r="B86" s="55" t="s">
        <v>5</v>
      </c>
      <c r="C86" s="7">
        <v>2</v>
      </c>
      <c r="D86" s="5" t="s">
        <v>15</v>
      </c>
      <c r="E86" s="6">
        <v>46059</v>
      </c>
      <c r="F86" s="5" t="s">
        <v>519</v>
      </c>
      <c r="G86" s="7" t="s">
        <v>39</v>
      </c>
      <c r="H86" s="7" t="s">
        <v>520</v>
      </c>
      <c r="I86" s="7" t="s">
        <v>521</v>
      </c>
      <c r="J86" s="1">
        <v>24000</v>
      </c>
      <c r="K86" s="1">
        <v>22950</v>
      </c>
      <c r="L86" s="1"/>
      <c r="M86" s="1">
        <v>22950</v>
      </c>
      <c r="N86" s="8">
        <f t="shared" si="2"/>
        <v>0</v>
      </c>
      <c r="O86" s="6">
        <v>45736</v>
      </c>
      <c r="P86" s="7" t="s">
        <v>522</v>
      </c>
      <c r="Q86" s="7" t="s">
        <v>14</v>
      </c>
      <c r="R86" s="5" t="s">
        <v>26</v>
      </c>
      <c r="S86" s="7" t="s">
        <v>11</v>
      </c>
      <c r="T86" s="7" t="s">
        <v>12</v>
      </c>
      <c r="U86" s="7" t="s">
        <v>84</v>
      </c>
      <c r="V86" s="7" t="s">
        <v>296</v>
      </c>
      <c r="W86" s="7" t="s">
        <v>168</v>
      </c>
      <c r="X86" s="7"/>
      <c r="Y86" s="5" t="s">
        <v>122</v>
      </c>
      <c r="Z86" s="7"/>
      <c r="AA86" s="7" t="s">
        <v>523</v>
      </c>
      <c r="AB86" s="7" t="s">
        <v>524</v>
      </c>
      <c r="AC86" s="7"/>
    </row>
    <row r="87" spans="1:29" ht="14.45" customHeight="1" x14ac:dyDescent="0.25">
      <c r="A87" s="9">
        <v>66</v>
      </c>
      <c r="B87" s="55" t="s">
        <v>5</v>
      </c>
      <c r="C87" s="7">
        <v>2</v>
      </c>
      <c r="D87" s="9" t="s">
        <v>10</v>
      </c>
      <c r="E87" s="10">
        <v>46065</v>
      </c>
      <c r="F87" s="9" t="s">
        <v>546</v>
      </c>
      <c r="G87" s="11" t="s">
        <v>57</v>
      </c>
      <c r="H87" s="11" t="s">
        <v>547</v>
      </c>
      <c r="I87" s="11" t="s">
        <v>548</v>
      </c>
      <c r="J87" s="2">
        <v>5000</v>
      </c>
      <c r="K87" s="2">
        <v>5040</v>
      </c>
      <c r="L87" s="2">
        <v>5000</v>
      </c>
      <c r="M87" s="2">
        <v>40</v>
      </c>
      <c r="N87" s="12">
        <f t="shared" si="2"/>
        <v>0.99206349206349209</v>
      </c>
      <c r="O87" s="10">
        <v>46055</v>
      </c>
      <c r="P87" s="11" t="s">
        <v>549</v>
      </c>
      <c r="Q87" s="11" t="s">
        <v>33</v>
      </c>
      <c r="R87" s="9" t="s">
        <v>23</v>
      </c>
      <c r="S87" s="11" t="s">
        <v>75</v>
      </c>
      <c r="T87" s="43" t="s">
        <v>44</v>
      </c>
      <c r="U87" s="11" t="s">
        <v>82</v>
      </c>
      <c r="V87" s="11" t="s">
        <v>289</v>
      </c>
      <c r="W87" s="11" t="s">
        <v>184</v>
      </c>
      <c r="X87" s="11" t="s">
        <v>289</v>
      </c>
      <c r="Y87" s="9" t="s">
        <v>122</v>
      </c>
      <c r="Z87" s="11" t="s">
        <v>550</v>
      </c>
      <c r="AA87" s="11"/>
      <c r="AB87" s="11"/>
      <c r="AC87" s="11"/>
    </row>
    <row r="88" spans="1:29" ht="14.45" customHeight="1" x14ac:dyDescent="0.25">
      <c r="A88" s="5">
        <v>57</v>
      </c>
      <c r="B88" s="55" t="s">
        <v>5</v>
      </c>
      <c r="C88" s="7">
        <v>2</v>
      </c>
      <c r="D88" s="5" t="s">
        <v>10</v>
      </c>
      <c r="E88" s="6">
        <v>46057</v>
      </c>
      <c r="F88" s="5" t="s">
        <v>507</v>
      </c>
      <c r="G88" s="7" t="s">
        <v>52</v>
      </c>
      <c r="H88" s="7" t="s">
        <v>508</v>
      </c>
      <c r="I88" s="7" t="s">
        <v>509</v>
      </c>
      <c r="J88" s="1">
        <v>174000</v>
      </c>
      <c r="K88" s="1">
        <v>205</v>
      </c>
      <c r="L88" s="1">
        <v>0</v>
      </c>
      <c r="M88" s="1">
        <v>205</v>
      </c>
      <c r="N88" s="8">
        <f t="shared" si="2"/>
        <v>0</v>
      </c>
      <c r="O88" s="6">
        <v>45197</v>
      </c>
      <c r="P88" s="7" t="s">
        <v>510</v>
      </c>
      <c r="Q88" s="7" t="s">
        <v>62</v>
      </c>
      <c r="R88" s="5" t="s">
        <v>23</v>
      </c>
      <c r="S88" s="7" t="s">
        <v>11</v>
      </c>
      <c r="T88" s="7" t="s">
        <v>20</v>
      </c>
      <c r="U88" s="7" t="s">
        <v>88</v>
      </c>
      <c r="V88" s="7" t="s">
        <v>511</v>
      </c>
      <c r="W88" s="7" t="s">
        <v>489</v>
      </c>
      <c r="X88" s="7"/>
      <c r="Y88" s="5" t="s">
        <v>122</v>
      </c>
      <c r="Z88" s="7" t="s">
        <v>512</v>
      </c>
      <c r="AA88" s="7" t="s">
        <v>513</v>
      </c>
      <c r="AB88" s="7" t="s">
        <v>492</v>
      </c>
      <c r="AC88" s="7" t="s">
        <v>335</v>
      </c>
    </row>
    <row r="89" spans="1:29" ht="14.45" customHeight="1" x14ac:dyDescent="0.25">
      <c r="A89" s="9">
        <v>54</v>
      </c>
      <c r="B89" s="55" t="s">
        <v>5</v>
      </c>
      <c r="C89" s="7">
        <v>2</v>
      </c>
      <c r="D89" s="9" t="s">
        <v>10</v>
      </c>
      <c r="E89" s="10">
        <v>46057</v>
      </c>
      <c r="F89" s="9" t="s">
        <v>483</v>
      </c>
      <c r="G89" s="11" t="s">
        <v>52</v>
      </c>
      <c r="H89" s="11" t="s">
        <v>484</v>
      </c>
      <c r="I89" s="11" t="s">
        <v>485</v>
      </c>
      <c r="J89" s="2">
        <v>500000</v>
      </c>
      <c r="K89" s="2">
        <v>4931</v>
      </c>
      <c r="L89" s="2">
        <v>0</v>
      </c>
      <c r="M89" s="2">
        <v>4931</v>
      </c>
      <c r="N89" s="12">
        <f t="shared" si="2"/>
        <v>0</v>
      </c>
      <c r="O89" s="10">
        <v>45853</v>
      </c>
      <c r="P89" s="11" t="s">
        <v>486</v>
      </c>
      <c r="Q89" s="11" t="s">
        <v>62</v>
      </c>
      <c r="R89" s="9" t="s">
        <v>23</v>
      </c>
      <c r="S89" s="11" t="s">
        <v>11</v>
      </c>
      <c r="T89" s="11" t="s">
        <v>20</v>
      </c>
      <c r="U89" s="11" t="s">
        <v>487</v>
      </c>
      <c r="V89" s="11" t="s">
        <v>488</v>
      </c>
      <c r="W89" s="11" t="s">
        <v>489</v>
      </c>
      <c r="X89" s="11"/>
      <c r="Y89" s="9" t="s">
        <v>122</v>
      </c>
      <c r="Z89" s="11" t="s">
        <v>490</v>
      </c>
      <c r="AA89" s="11" t="s">
        <v>491</v>
      </c>
      <c r="AB89" s="11" t="s">
        <v>492</v>
      </c>
      <c r="AC89" s="11" t="s">
        <v>335</v>
      </c>
    </row>
    <row r="90" spans="1:29" ht="14.45" customHeight="1" x14ac:dyDescent="0.25">
      <c r="A90" s="9">
        <v>90</v>
      </c>
      <c r="B90" s="5" t="s">
        <v>5</v>
      </c>
      <c r="C90" s="11">
        <v>2</v>
      </c>
      <c r="D90" s="9" t="s">
        <v>13</v>
      </c>
      <c r="E90" s="10">
        <v>46078</v>
      </c>
      <c r="F90" s="9" t="s">
        <v>642</v>
      </c>
      <c r="G90" s="11" t="s">
        <v>42</v>
      </c>
      <c r="H90" s="11" t="s">
        <v>657</v>
      </c>
      <c r="I90" s="11" t="s">
        <v>658</v>
      </c>
      <c r="J90" s="2">
        <v>7800</v>
      </c>
      <c r="K90" s="2">
        <v>9000</v>
      </c>
      <c r="L90" s="2">
        <v>4600</v>
      </c>
      <c r="M90" s="2">
        <v>4400</v>
      </c>
      <c r="N90" s="12">
        <f t="shared" si="2"/>
        <v>0.51111111111111107</v>
      </c>
      <c r="O90" s="10">
        <v>46078</v>
      </c>
      <c r="P90" s="11" t="s">
        <v>659</v>
      </c>
      <c r="Q90" s="11" t="s">
        <v>16</v>
      </c>
      <c r="R90" s="9" t="s">
        <v>23</v>
      </c>
      <c r="S90" s="11" t="s">
        <v>75</v>
      </c>
      <c r="T90" s="11" t="s">
        <v>12</v>
      </c>
      <c r="U90" s="11" t="s">
        <v>83</v>
      </c>
      <c r="V90" s="11" t="s">
        <v>167</v>
      </c>
      <c r="W90" s="11" t="s">
        <v>168</v>
      </c>
      <c r="X90" s="11" t="s">
        <v>359</v>
      </c>
      <c r="Y90" s="9" t="s">
        <v>122</v>
      </c>
      <c r="Z90" s="11" t="s">
        <v>646</v>
      </c>
      <c r="AA90" s="11"/>
      <c r="AB90" s="11"/>
      <c r="AC90" s="11"/>
    </row>
    <row r="91" spans="1:29" ht="14.45" customHeight="1" x14ac:dyDescent="0.25">
      <c r="A91" s="5">
        <v>55</v>
      </c>
      <c r="B91" s="55" t="s">
        <v>5</v>
      </c>
      <c r="C91" s="7">
        <v>2</v>
      </c>
      <c r="D91" s="5" t="s">
        <v>10</v>
      </c>
      <c r="E91" s="6">
        <v>46057</v>
      </c>
      <c r="F91" s="5" t="s">
        <v>493</v>
      </c>
      <c r="G91" s="7" t="s">
        <v>52</v>
      </c>
      <c r="H91" s="7" t="s">
        <v>494</v>
      </c>
      <c r="I91" s="7" t="s">
        <v>495</v>
      </c>
      <c r="J91" s="1">
        <v>2650000</v>
      </c>
      <c r="K91" s="1">
        <v>1942</v>
      </c>
      <c r="L91" s="1">
        <v>0</v>
      </c>
      <c r="M91" s="1">
        <v>1942</v>
      </c>
      <c r="N91" s="8">
        <f t="shared" si="2"/>
        <v>0</v>
      </c>
      <c r="O91" s="6">
        <v>45947</v>
      </c>
      <c r="P91" s="7" t="s">
        <v>496</v>
      </c>
      <c r="Q91" s="7" t="s">
        <v>62</v>
      </c>
      <c r="R91" s="5" t="s">
        <v>23</v>
      </c>
      <c r="S91" s="7" t="s">
        <v>11</v>
      </c>
      <c r="T91" s="7" t="s">
        <v>20</v>
      </c>
      <c r="U91" s="7" t="s">
        <v>497</v>
      </c>
      <c r="V91" s="7" t="s">
        <v>498</v>
      </c>
      <c r="W91" s="7" t="s">
        <v>499</v>
      </c>
      <c r="X91" s="7"/>
      <c r="Y91" s="5" t="s">
        <v>122</v>
      </c>
      <c r="Z91" s="7" t="s">
        <v>500</v>
      </c>
      <c r="AA91" s="7" t="s">
        <v>491</v>
      </c>
      <c r="AB91" s="7" t="s">
        <v>492</v>
      </c>
      <c r="AC91" s="7" t="s">
        <v>335</v>
      </c>
    </row>
    <row r="92" spans="1:29" ht="14.45" customHeight="1" x14ac:dyDescent="0.25">
      <c r="A92" s="9">
        <v>56</v>
      </c>
      <c r="B92" s="55" t="s">
        <v>5</v>
      </c>
      <c r="C92" s="7">
        <v>2</v>
      </c>
      <c r="D92" s="9" t="s">
        <v>10</v>
      </c>
      <c r="E92" s="10">
        <v>46057</v>
      </c>
      <c r="F92" s="9" t="s">
        <v>501</v>
      </c>
      <c r="G92" s="11" t="s">
        <v>52</v>
      </c>
      <c r="H92" s="11" t="s">
        <v>502</v>
      </c>
      <c r="I92" s="11" t="s">
        <v>503</v>
      </c>
      <c r="J92" s="2">
        <v>1900000</v>
      </c>
      <c r="K92" s="2">
        <v>1976</v>
      </c>
      <c r="L92" s="2">
        <v>0</v>
      </c>
      <c r="M92" s="2">
        <v>1976</v>
      </c>
      <c r="N92" s="12">
        <f t="shared" si="2"/>
        <v>0</v>
      </c>
      <c r="O92" s="10">
        <v>45929</v>
      </c>
      <c r="P92" s="11" t="s">
        <v>504</v>
      </c>
      <c r="Q92" s="11" t="s">
        <v>62</v>
      </c>
      <c r="R92" s="9" t="s">
        <v>23</v>
      </c>
      <c r="S92" s="11" t="s">
        <v>11</v>
      </c>
      <c r="T92" s="11" t="s">
        <v>20</v>
      </c>
      <c r="U92" s="11" t="s">
        <v>88</v>
      </c>
      <c r="V92" s="11" t="s">
        <v>505</v>
      </c>
      <c r="W92" s="11" t="s">
        <v>489</v>
      </c>
      <c r="X92" s="11"/>
      <c r="Y92" s="9" t="s">
        <v>122</v>
      </c>
      <c r="Z92" s="11" t="s">
        <v>506</v>
      </c>
      <c r="AA92" s="11" t="s">
        <v>491</v>
      </c>
      <c r="AB92" s="11" t="s">
        <v>492</v>
      </c>
      <c r="AC92" s="11" t="s">
        <v>335</v>
      </c>
    </row>
    <row r="93" spans="1:29" ht="14.45" customHeight="1" x14ac:dyDescent="0.25">
      <c r="A93" s="5">
        <v>75</v>
      </c>
      <c r="B93" s="55" t="s">
        <v>5</v>
      </c>
      <c r="C93" s="7">
        <v>2</v>
      </c>
      <c r="D93" s="5" t="s">
        <v>10</v>
      </c>
      <c r="E93" s="6">
        <v>46071</v>
      </c>
      <c r="F93" s="5" t="s">
        <v>585</v>
      </c>
      <c r="G93" s="7" t="s">
        <v>52</v>
      </c>
      <c r="H93" s="7" t="s">
        <v>502</v>
      </c>
      <c r="I93" s="7" t="s">
        <v>503</v>
      </c>
      <c r="J93" s="1">
        <v>2106300</v>
      </c>
      <c r="K93" s="1">
        <v>1778</v>
      </c>
      <c r="L93" s="1">
        <v>0</v>
      </c>
      <c r="M93" s="1">
        <v>1778</v>
      </c>
      <c r="N93" s="8">
        <f t="shared" si="2"/>
        <v>0</v>
      </c>
      <c r="O93" s="6">
        <v>45980</v>
      </c>
      <c r="P93" s="7" t="s">
        <v>580</v>
      </c>
      <c r="Q93" s="7" t="s">
        <v>62</v>
      </c>
      <c r="R93" s="5" t="s">
        <v>23</v>
      </c>
      <c r="S93" s="7" t="s">
        <v>11</v>
      </c>
      <c r="T93" s="7" t="s">
        <v>20</v>
      </c>
      <c r="U93" s="7" t="s">
        <v>586</v>
      </c>
      <c r="V93" s="7" t="s">
        <v>587</v>
      </c>
      <c r="W93" s="7" t="s">
        <v>499</v>
      </c>
      <c r="X93" s="7"/>
      <c r="Y93" s="5" t="s">
        <v>122</v>
      </c>
      <c r="Z93" s="7" t="s">
        <v>588</v>
      </c>
      <c r="AA93" s="7" t="s">
        <v>584</v>
      </c>
      <c r="AB93" s="7" t="s">
        <v>492</v>
      </c>
      <c r="AC93" s="7" t="s">
        <v>335</v>
      </c>
    </row>
    <row r="94" spans="1:29" ht="14.45" customHeight="1" x14ac:dyDescent="0.25">
      <c r="A94" s="9">
        <v>74</v>
      </c>
      <c r="B94" s="55" t="s">
        <v>5</v>
      </c>
      <c r="C94" s="7">
        <v>2</v>
      </c>
      <c r="D94" s="9" t="s">
        <v>10</v>
      </c>
      <c r="E94" s="10">
        <v>46071</v>
      </c>
      <c r="F94" s="9" t="s">
        <v>579</v>
      </c>
      <c r="G94" s="11" t="s">
        <v>52</v>
      </c>
      <c r="H94" s="11" t="s">
        <v>494</v>
      </c>
      <c r="I94" s="11" t="s">
        <v>495</v>
      </c>
      <c r="J94" s="2">
        <v>173542</v>
      </c>
      <c r="K94" s="2">
        <v>599</v>
      </c>
      <c r="L94" s="2">
        <v>0</v>
      </c>
      <c r="M94" s="2">
        <v>599</v>
      </c>
      <c r="N94" s="12">
        <f t="shared" si="2"/>
        <v>0</v>
      </c>
      <c r="O94" s="10">
        <v>45978</v>
      </c>
      <c r="P94" s="11" t="s">
        <v>580</v>
      </c>
      <c r="Q94" s="11" t="s">
        <v>62</v>
      </c>
      <c r="R94" s="9" t="s">
        <v>23</v>
      </c>
      <c r="S94" s="11" t="s">
        <v>11</v>
      </c>
      <c r="T94" s="11" t="s">
        <v>20</v>
      </c>
      <c r="U94" s="11" t="s">
        <v>581</v>
      </c>
      <c r="V94" s="11" t="s">
        <v>582</v>
      </c>
      <c r="W94" s="11" t="s">
        <v>499</v>
      </c>
      <c r="X94" s="11"/>
      <c r="Y94" s="9" t="s">
        <v>122</v>
      </c>
      <c r="Z94" s="11" t="s">
        <v>583</v>
      </c>
      <c r="AA94" s="11" t="s">
        <v>584</v>
      </c>
      <c r="AB94" s="11" t="s">
        <v>492</v>
      </c>
      <c r="AC94" s="11" t="s">
        <v>335</v>
      </c>
    </row>
    <row r="95" spans="1:29" ht="14.45" customHeight="1" x14ac:dyDescent="0.25">
      <c r="A95" s="5">
        <v>91</v>
      </c>
      <c r="B95" s="5" t="s">
        <v>5</v>
      </c>
      <c r="C95" s="7">
        <v>2</v>
      </c>
      <c r="D95" s="5" t="s">
        <v>13</v>
      </c>
      <c r="E95" s="6">
        <v>46079</v>
      </c>
      <c r="F95" s="5" t="s">
        <v>660</v>
      </c>
      <c r="G95" s="7" t="s">
        <v>45</v>
      </c>
      <c r="H95" s="7" t="s">
        <v>661</v>
      </c>
      <c r="I95" s="7" t="s">
        <v>662</v>
      </c>
      <c r="J95" s="1">
        <v>4000</v>
      </c>
      <c r="K95" s="1">
        <v>3850</v>
      </c>
      <c r="L95" s="1">
        <v>2051</v>
      </c>
      <c r="M95" s="1">
        <v>1799</v>
      </c>
      <c r="N95" s="8">
        <f t="shared" si="2"/>
        <v>0.53272727272727272</v>
      </c>
      <c r="O95" s="6">
        <v>46079</v>
      </c>
      <c r="P95" s="7" t="s">
        <v>663</v>
      </c>
      <c r="Q95" s="7" t="s">
        <v>35</v>
      </c>
      <c r="R95" s="5" t="s">
        <v>23</v>
      </c>
      <c r="S95" s="7" t="s">
        <v>11</v>
      </c>
      <c r="T95" s="7" t="s">
        <v>12</v>
      </c>
      <c r="U95" s="7" t="s">
        <v>84</v>
      </c>
      <c r="V95" s="7" t="s">
        <v>175</v>
      </c>
      <c r="W95" s="7" t="s">
        <v>168</v>
      </c>
      <c r="X95" s="7"/>
      <c r="Y95" s="5" t="s">
        <v>122</v>
      </c>
      <c r="Z95" s="7" t="s">
        <v>646</v>
      </c>
      <c r="AA95" s="7"/>
      <c r="AB95" s="7"/>
      <c r="AC95" s="7"/>
    </row>
    <row r="96" spans="1:29" ht="14.45" customHeight="1" x14ac:dyDescent="0.25">
      <c r="A96" s="9">
        <v>62</v>
      </c>
      <c r="B96" s="5" t="s">
        <v>5</v>
      </c>
      <c r="C96" s="11">
        <v>2</v>
      </c>
      <c r="D96" s="9" t="s">
        <v>13</v>
      </c>
      <c r="E96" s="10">
        <v>46064</v>
      </c>
      <c r="F96" s="9" t="s">
        <v>536</v>
      </c>
      <c r="G96" s="11" t="s">
        <v>59</v>
      </c>
      <c r="H96" s="11" t="s">
        <v>537</v>
      </c>
      <c r="I96" s="11" t="s">
        <v>538</v>
      </c>
      <c r="J96" s="2">
        <v>10000</v>
      </c>
      <c r="K96" s="2">
        <v>11500</v>
      </c>
      <c r="L96" s="2">
        <v>11500</v>
      </c>
      <c r="M96" s="2">
        <v>0</v>
      </c>
      <c r="N96" s="12">
        <f t="shared" si="2"/>
        <v>1</v>
      </c>
      <c r="O96" s="10">
        <v>46063</v>
      </c>
      <c r="P96" s="11" t="s">
        <v>539</v>
      </c>
      <c r="Q96" s="11" t="s">
        <v>16</v>
      </c>
      <c r="R96" s="9" t="s">
        <v>23</v>
      </c>
      <c r="S96" s="11" t="s">
        <v>11</v>
      </c>
      <c r="T96" s="11" t="s">
        <v>12</v>
      </c>
      <c r="U96" s="11" t="s">
        <v>84</v>
      </c>
      <c r="V96" s="11" t="s">
        <v>296</v>
      </c>
      <c r="W96" s="11" t="s">
        <v>168</v>
      </c>
      <c r="X96" s="11" t="s">
        <v>289</v>
      </c>
      <c r="Y96" s="9" t="s">
        <v>122</v>
      </c>
      <c r="Z96" s="11"/>
      <c r="AA96" s="11"/>
      <c r="AB96" s="11"/>
      <c r="AC96" s="11"/>
    </row>
    <row r="97" spans="1:29" x14ac:dyDescent="0.25">
      <c r="A97" s="5">
        <v>169</v>
      </c>
      <c r="B97" s="5" t="s">
        <v>6</v>
      </c>
      <c r="C97" s="7">
        <v>3</v>
      </c>
      <c r="D97" s="5" t="s">
        <v>15</v>
      </c>
      <c r="E97" s="6"/>
      <c r="F97" s="5" t="s">
        <v>117</v>
      </c>
      <c r="G97" s="7" t="s">
        <v>47</v>
      </c>
      <c r="H97" s="7" t="s">
        <v>118</v>
      </c>
      <c r="I97" s="7" t="s">
        <v>119</v>
      </c>
      <c r="J97" s="1">
        <v>220000</v>
      </c>
      <c r="K97" s="1">
        <v>0</v>
      </c>
      <c r="L97" s="1">
        <v>0</v>
      </c>
      <c r="M97" s="1">
        <v>0</v>
      </c>
      <c r="N97" s="8" t="str">
        <f t="shared" si="2"/>
        <v/>
      </c>
      <c r="O97" s="6">
        <v>46041</v>
      </c>
      <c r="P97" s="7" t="s">
        <v>120</v>
      </c>
      <c r="Q97" s="7" t="s">
        <v>48</v>
      </c>
      <c r="R97" s="5" t="s">
        <v>29</v>
      </c>
      <c r="S97" s="7" t="s">
        <v>11</v>
      </c>
      <c r="T97" s="7" t="s">
        <v>41</v>
      </c>
      <c r="U97" s="7" t="s">
        <v>82</v>
      </c>
      <c r="V97" s="7" t="s">
        <v>770</v>
      </c>
      <c r="W97" s="7" t="s">
        <v>121</v>
      </c>
      <c r="X97" s="7" t="s">
        <v>771</v>
      </c>
      <c r="Y97" s="5" t="s">
        <v>602</v>
      </c>
      <c r="Z97" s="7" t="s">
        <v>772</v>
      </c>
      <c r="AA97" s="7"/>
      <c r="AB97" s="7"/>
      <c r="AC97" s="7"/>
    </row>
    <row r="98" spans="1:29" x14ac:dyDescent="0.25">
      <c r="A98" s="5">
        <v>171</v>
      </c>
      <c r="B98" s="5" t="s">
        <v>6</v>
      </c>
      <c r="C98" s="7">
        <v>3</v>
      </c>
      <c r="D98" s="5" t="s">
        <v>15</v>
      </c>
      <c r="E98" s="6"/>
      <c r="F98" s="5" t="s">
        <v>129</v>
      </c>
      <c r="G98" s="7" t="s">
        <v>61</v>
      </c>
      <c r="H98" s="7" t="s">
        <v>130</v>
      </c>
      <c r="I98" s="7" t="s">
        <v>131</v>
      </c>
      <c r="J98" s="1">
        <v>17000</v>
      </c>
      <c r="K98" s="1">
        <v>18000</v>
      </c>
      <c r="L98" s="1">
        <v>0</v>
      </c>
      <c r="M98" s="1">
        <v>0</v>
      </c>
      <c r="N98" s="8">
        <f t="shared" si="2"/>
        <v>0</v>
      </c>
      <c r="O98" s="6">
        <v>45896</v>
      </c>
      <c r="P98" s="7" t="s">
        <v>132</v>
      </c>
      <c r="Q98" s="7" t="s">
        <v>19</v>
      </c>
      <c r="R98" s="5" t="s">
        <v>23</v>
      </c>
      <c r="S98" s="7" t="s">
        <v>75</v>
      </c>
      <c r="T98" s="7" t="s">
        <v>12</v>
      </c>
      <c r="U98" s="7" t="s">
        <v>83</v>
      </c>
      <c r="V98" s="7" t="s">
        <v>778</v>
      </c>
      <c r="W98" s="7" t="s">
        <v>133</v>
      </c>
      <c r="X98" s="7" t="s">
        <v>771</v>
      </c>
      <c r="Y98" s="5" t="s">
        <v>122</v>
      </c>
      <c r="Z98" s="7"/>
      <c r="AA98" s="7"/>
      <c r="AB98" s="7"/>
      <c r="AC98" s="7"/>
    </row>
    <row r="99" spans="1:29" x14ac:dyDescent="0.25">
      <c r="A99" s="9">
        <v>172</v>
      </c>
      <c r="B99" s="9" t="s">
        <v>6</v>
      </c>
      <c r="C99" s="11">
        <v>3</v>
      </c>
      <c r="D99" s="9" t="s">
        <v>15</v>
      </c>
      <c r="E99" s="10"/>
      <c r="F99" s="9" t="s">
        <v>134</v>
      </c>
      <c r="G99" s="11" t="s">
        <v>47</v>
      </c>
      <c r="H99" s="11" t="s">
        <v>135</v>
      </c>
      <c r="I99" s="11" t="s">
        <v>136</v>
      </c>
      <c r="J99" s="2">
        <v>96000</v>
      </c>
      <c r="K99" s="2">
        <v>0</v>
      </c>
      <c r="L99" s="1">
        <v>0</v>
      </c>
      <c r="M99" s="2">
        <v>0</v>
      </c>
      <c r="N99" s="12" t="str">
        <f t="shared" si="2"/>
        <v/>
      </c>
      <c r="O99" s="10">
        <v>46087</v>
      </c>
      <c r="P99" s="11" t="s">
        <v>137</v>
      </c>
      <c r="Q99" s="11" t="s">
        <v>16</v>
      </c>
      <c r="R99" s="9" t="s">
        <v>23</v>
      </c>
      <c r="S99" s="11" t="s">
        <v>77</v>
      </c>
      <c r="T99" s="11" t="s">
        <v>12</v>
      </c>
      <c r="U99" s="11" t="s">
        <v>82</v>
      </c>
      <c r="V99" s="11" t="s">
        <v>779</v>
      </c>
      <c r="W99" s="11" t="s">
        <v>138</v>
      </c>
      <c r="X99" s="11" t="s">
        <v>771</v>
      </c>
      <c r="Y99" s="9" t="s">
        <v>122</v>
      </c>
      <c r="Z99" s="11"/>
      <c r="AA99" s="11"/>
      <c r="AB99" s="11"/>
      <c r="AC99" s="11"/>
    </row>
    <row r="100" spans="1:29" x14ac:dyDescent="0.25">
      <c r="A100" s="5">
        <v>173</v>
      </c>
      <c r="B100" s="5" t="s">
        <v>6</v>
      </c>
      <c r="C100" s="7">
        <v>3</v>
      </c>
      <c r="D100" s="5" t="s">
        <v>15</v>
      </c>
      <c r="E100" s="6"/>
      <c r="F100" s="5" t="s">
        <v>134</v>
      </c>
      <c r="G100" s="7" t="s">
        <v>47</v>
      </c>
      <c r="H100" s="7" t="s">
        <v>135</v>
      </c>
      <c r="I100" s="7" t="s">
        <v>136</v>
      </c>
      <c r="J100" s="1">
        <v>96000</v>
      </c>
      <c r="K100" s="1">
        <v>0</v>
      </c>
      <c r="L100" s="1">
        <v>0</v>
      </c>
      <c r="M100" s="1">
        <v>0</v>
      </c>
      <c r="N100" s="8" t="str">
        <f t="shared" ref="N100:N131" si="3">IFERROR(L100/K100,"")</f>
        <v/>
      </c>
      <c r="O100" s="6">
        <v>46087</v>
      </c>
      <c r="P100" s="7" t="s">
        <v>139</v>
      </c>
      <c r="Q100" s="7" t="s">
        <v>27</v>
      </c>
      <c r="R100" s="5" t="s">
        <v>26</v>
      </c>
      <c r="S100" s="7" t="s">
        <v>75</v>
      </c>
      <c r="T100" s="7" t="s">
        <v>12</v>
      </c>
      <c r="U100" s="7" t="s">
        <v>140</v>
      </c>
      <c r="V100" s="7" t="s">
        <v>780</v>
      </c>
      <c r="W100" s="7" t="s">
        <v>133</v>
      </c>
      <c r="X100" s="7" t="s">
        <v>771</v>
      </c>
      <c r="Y100" s="5" t="s">
        <v>122</v>
      </c>
      <c r="Z100" s="7"/>
      <c r="AA100" s="7"/>
      <c r="AB100" s="7"/>
      <c r="AC100" s="7"/>
    </row>
    <row r="101" spans="1:29" x14ac:dyDescent="0.25">
      <c r="A101" s="9">
        <v>174</v>
      </c>
      <c r="B101" s="9" t="s">
        <v>6</v>
      </c>
      <c r="C101" s="11">
        <v>3</v>
      </c>
      <c r="D101" s="9" t="s">
        <v>15</v>
      </c>
      <c r="E101" s="10"/>
      <c r="F101" s="9" t="s">
        <v>141</v>
      </c>
      <c r="G101" s="11" t="s">
        <v>63</v>
      </c>
      <c r="H101" s="11" t="s">
        <v>142</v>
      </c>
      <c r="I101" s="11" t="s">
        <v>143</v>
      </c>
      <c r="J101" s="2">
        <v>20000</v>
      </c>
      <c r="K101" s="2">
        <v>2</v>
      </c>
      <c r="L101" s="1">
        <v>0</v>
      </c>
      <c r="M101" s="2">
        <v>0</v>
      </c>
      <c r="N101" s="12">
        <f t="shared" si="3"/>
        <v>0</v>
      </c>
      <c r="O101" s="10">
        <v>45861</v>
      </c>
      <c r="P101" s="11" t="s">
        <v>144</v>
      </c>
      <c r="Q101" s="11" t="s">
        <v>60</v>
      </c>
      <c r="R101" s="9" t="s">
        <v>23</v>
      </c>
      <c r="S101" s="11" t="s">
        <v>78</v>
      </c>
      <c r="T101" s="11" t="s">
        <v>1238</v>
      </c>
      <c r="U101" s="11" t="s">
        <v>145</v>
      </c>
      <c r="V101" s="11" t="s">
        <v>781</v>
      </c>
      <c r="W101" s="11" t="s">
        <v>133</v>
      </c>
      <c r="X101" s="11" t="s">
        <v>771</v>
      </c>
      <c r="Y101" s="9" t="s">
        <v>122</v>
      </c>
      <c r="Z101" s="11"/>
      <c r="AA101" s="11"/>
      <c r="AB101" s="11"/>
      <c r="AC101" s="11"/>
    </row>
    <row r="102" spans="1:29" x14ac:dyDescent="0.25">
      <c r="A102" s="5">
        <v>175</v>
      </c>
      <c r="B102" s="5" t="s">
        <v>6</v>
      </c>
      <c r="C102" s="7">
        <v>3</v>
      </c>
      <c r="D102" s="5" t="s">
        <v>15</v>
      </c>
      <c r="E102" s="6"/>
      <c r="F102" s="5" t="s">
        <v>146</v>
      </c>
      <c r="G102" s="7" t="s">
        <v>63</v>
      </c>
      <c r="H102" s="7" t="s">
        <v>147</v>
      </c>
      <c r="I102" s="7" t="s">
        <v>148</v>
      </c>
      <c r="J102" s="1">
        <v>17699</v>
      </c>
      <c r="K102" s="1">
        <v>8</v>
      </c>
      <c r="L102" s="1">
        <v>0</v>
      </c>
      <c r="M102" s="1">
        <v>0</v>
      </c>
      <c r="N102" s="8">
        <f t="shared" si="3"/>
        <v>0</v>
      </c>
      <c r="O102" s="6">
        <v>46031</v>
      </c>
      <c r="P102" s="7" t="s">
        <v>149</v>
      </c>
      <c r="Q102" s="7" t="s">
        <v>62</v>
      </c>
      <c r="R102" s="5" t="s">
        <v>23</v>
      </c>
      <c r="S102" s="7" t="s">
        <v>75</v>
      </c>
      <c r="T102" s="11" t="s">
        <v>1238</v>
      </c>
      <c r="U102" s="7" t="s">
        <v>150</v>
      </c>
      <c r="V102" s="7" t="s">
        <v>781</v>
      </c>
      <c r="W102" s="7" t="s">
        <v>133</v>
      </c>
      <c r="X102" s="7" t="s">
        <v>771</v>
      </c>
      <c r="Y102" s="5" t="s">
        <v>122</v>
      </c>
      <c r="Z102" s="7"/>
      <c r="AA102" s="7"/>
      <c r="AB102" s="7"/>
      <c r="AC102" s="7"/>
    </row>
    <row r="103" spans="1:29" x14ac:dyDescent="0.25">
      <c r="A103" s="9">
        <v>176</v>
      </c>
      <c r="B103" s="9" t="s">
        <v>6</v>
      </c>
      <c r="C103" s="11">
        <v>3</v>
      </c>
      <c r="D103" s="9" t="s">
        <v>15</v>
      </c>
      <c r="E103" s="10"/>
      <c r="F103" s="9" t="s">
        <v>151</v>
      </c>
      <c r="G103" s="11" t="s">
        <v>54</v>
      </c>
      <c r="H103" s="11" t="s">
        <v>152</v>
      </c>
      <c r="I103" s="11" t="s">
        <v>153</v>
      </c>
      <c r="J103" s="2">
        <v>5000</v>
      </c>
      <c r="K103" s="2">
        <v>0</v>
      </c>
      <c r="L103" s="1">
        <v>0</v>
      </c>
      <c r="M103" s="2">
        <v>0</v>
      </c>
      <c r="N103" s="12" t="str">
        <f t="shared" si="3"/>
        <v/>
      </c>
      <c r="O103" s="10">
        <v>46028</v>
      </c>
      <c r="P103" s="11" t="s">
        <v>154</v>
      </c>
      <c r="Q103" s="11" t="s">
        <v>51</v>
      </c>
      <c r="R103" s="9" t="s">
        <v>23</v>
      </c>
      <c r="S103" s="11" t="s">
        <v>75</v>
      </c>
      <c r="T103" s="11" t="s">
        <v>38</v>
      </c>
      <c r="U103" s="11" t="s">
        <v>82</v>
      </c>
      <c r="V103" s="11"/>
      <c r="W103" s="11"/>
      <c r="X103" s="11" t="s">
        <v>771</v>
      </c>
      <c r="Y103" s="9" t="s">
        <v>122</v>
      </c>
      <c r="Z103" s="11"/>
      <c r="AA103" s="11"/>
      <c r="AB103" s="11"/>
      <c r="AC103" s="11"/>
    </row>
    <row r="104" spans="1:29" ht="14.45" customHeight="1" x14ac:dyDescent="0.25">
      <c r="A104" s="9">
        <v>186</v>
      </c>
      <c r="B104" s="9" t="s">
        <v>6</v>
      </c>
      <c r="C104" s="11">
        <v>3</v>
      </c>
      <c r="D104" s="9" t="s">
        <v>10</v>
      </c>
      <c r="E104" s="10">
        <v>46085</v>
      </c>
      <c r="F104" s="9" t="s">
        <v>680</v>
      </c>
      <c r="G104" s="11" t="s">
        <v>42</v>
      </c>
      <c r="H104" s="11" t="s">
        <v>683</v>
      </c>
      <c r="I104" s="11" t="s">
        <v>684</v>
      </c>
      <c r="J104" s="2">
        <v>3580</v>
      </c>
      <c r="K104" s="2">
        <v>3600</v>
      </c>
      <c r="L104" s="2">
        <v>3200</v>
      </c>
      <c r="M104" s="2">
        <v>400</v>
      </c>
      <c r="N104" s="12">
        <f t="shared" si="3"/>
        <v>0.88888888888888884</v>
      </c>
      <c r="O104" s="10">
        <v>46030</v>
      </c>
      <c r="P104" s="11" t="s">
        <v>685</v>
      </c>
      <c r="Q104" s="11" t="s">
        <v>16</v>
      </c>
      <c r="R104" s="9" t="s">
        <v>23</v>
      </c>
      <c r="S104" s="11" t="s">
        <v>75</v>
      </c>
      <c r="T104" s="11" t="s">
        <v>12</v>
      </c>
      <c r="U104" s="11" t="s">
        <v>84</v>
      </c>
      <c r="V104" s="11" t="s">
        <v>794</v>
      </c>
      <c r="W104" s="11" t="s">
        <v>133</v>
      </c>
      <c r="X104" s="11" t="s">
        <v>771</v>
      </c>
      <c r="Y104" s="9" t="s">
        <v>122</v>
      </c>
      <c r="Z104" s="11" t="s">
        <v>795</v>
      </c>
      <c r="AA104" s="11" t="s">
        <v>796</v>
      </c>
      <c r="AB104" s="11" t="s">
        <v>797</v>
      </c>
      <c r="AC104" s="11"/>
    </row>
    <row r="105" spans="1:29" ht="14.45" customHeight="1" x14ac:dyDescent="0.25">
      <c r="A105" s="9">
        <v>190</v>
      </c>
      <c r="B105" s="5" t="s">
        <v>6</v>
      </c>
      <c r="C105" s="11">
        <v>3</v>
      </c>
      <c r="D105" s="9" t="s">
        <v>13</v>
      </c>
      <c r="E105" s="10">
        <v>46091</v>
      </c>
      <c r="F105" s="9" t="s">
        <v>694</v>
      </c>
      <c r="G105" s="11" t="s">
        <v>45</v>
      </c>
      <c r="H105" s="11" t="s">
        <v>698</v>
      </c>
      <c r="I105" s="11" t="s">
        <v>699</v>
      </c>
      <c r="J105" s="2">
        <v>5000</v>
      </c>
      <c r="K105" s="2">
        <v>5250</v>
      </c>
      <c r="L105" s="2">
        <v>4500</v>
      </c>
      <c r="M105" s="2">
        <v>750</v>
      </c>
      <c r="N105" s="12">
        <f t="shared" si="3"/>
        <v>0.8571428571428571</v>
      </c>
      <c r="O105" s="10">
        <v>46050</v>
      </c>
      <c r="P105" s="11" t="s">
        <v>700</v>
      </c>
      <c r="Q105" s="11" t="s">
        <v>19</v>
      </c>
      <c r="R105" s="9" t="s">
        <v>23</v>
      </c>
      <c r="S105" s="11" t="s">
        <v>75</v>
      </c>
      <c r="T105" s="11" t="s">
        <v>12</v>
      </c>
      <c r="U105" s="11" t="s">
        <v>83</v>
      </c>
      <c r="V105" s="11" t="s">
        <v>799</v>
      </c>
      <c r="W105" s="11" t="s">
        <v>133</v>
      </c>
      <c r="X105" s="11" t="s">
        <v>784</v>
      </c>
      <c r="Y105" s="9" t="s">
        <v>122</v>
      </c>
      <c r="Z105" s="11"/>
      <c r="AA105" s="11"/>
      <c r="AB105" s="11"/>
      <c r="AC105" s="11"/>
    </row>
    <row r="106" spans="1:29" ht="14.45" customHeight="1" x14ac:dyDescent="0.25">
      <c r="A106" s="5">
        <v>207</v>
      </c>
      <c r="B106" s="5" t="s">
        <v>6</v>
      </c>
      <c r="C106" s="7">
        <v>3</v>
      </c>
      <c r="D106" s="5" t="s">
        <v>10</v>
      </c>
      <c r="E106" s="6">
        <v>46111</v>
      </c>
      <c r="F106" s="5" t="s">
        <v>680</v>
      </c>
      <c r="G106" s="11" t="s">
        <v>42</v>
      </c>
      <c r="H106" s="32" t="s">
        <v>681</v>
      </c>
      <c r="I106" s="7" t="s">
        <v>682</v>
      </c>
      <c r="J106" s="1">
        <v>3580</v>
      </c>
      <c r="K106" s="1">
        <v>3200</v>
      </c>
      <c r="L106" s="1">
        <v>3200</v>
      </c>
      <c r="M106" s="1">
        <v>0</v>
      </c>
      <c r="N106" s="8">
        <f t="shared" si="3"/>
        <v>1</v>
      </c>
      <c r="O106" s="6">
        <v>46057</v>
      </c>
      <c r="P106" s="7" t="s">
        <v>767</v>
      </c>
      <c r="Q106" s="7" t="s">
        <v>19</v>
      </c>
      <c r="R106" s="5" t="s">
        <v>23</v>
      </c>
      <c r="S106" s="7" t="s">
        <v>75</v>
      </c>
      <c r="T106" s="7" t="s">
        <v>12</v>
      </c>
      <c r="U106" s="7" t="s">
        <v>84</v>
      </c>
      <c r="V106" s="7" t="s">
        <v>794</v>
      </c>
      <c r="W106" s="7" t="s">
        <v>133</v>
      </c>
      <c r="X106" s="7" t="s">
        <v>771</v>
      </c>
      <c r="Y106" s="5" t="s">
        <v>122</v>
      </c>
      <c r="Z106" s="7" t="s">
        <v>808</v>
      </c>
      <c r="AA106" s="7"/>
      <c r="AB106" s="7"/>
      <c r="AC106" s="7"/>
    </row>
    <row r="107" spans="1:29" ht="14.45" customHeight="1" x14ac:dyDescent="0.25">
      <c r="A107" s="5">
        <v>207</v>
      </c>
      <c r="B107" s="5" t="s">
        <v>6</v>
      </c>
      <c r="C107" s="7">
        <v>3</v>
      </c>
      <c r="D107" s="5" t="s">
        <v>10</v>
      </c>
      <c r="E107" s="6">
        <v>46111</v>
      </c>
      <c r="F107" s="5" t="s">
        <v>680</v>
      </c>
      <c r="G107" s="11" t="s">
        <v>42</v>
      </c>
      <c r="H107" s="32" t="s">
        <v>681</v>
      </c>
      <c r="I107" s="7" t="s">
        <v>682</v>
      </c>
      <c r="J107" s="1">
        <v>3580</v>
      </c>
      <c r="K107" s="1">
        <v>3200</v>
      </c>
      <c r="L107" s="1">
        <v>3200</v>
      </c>
      <c r="M107" s="1">
        <v>0</v>
      </c>
      <c r="N107" s="8">
        <f t="shared" si="3"/>
        <v>1</v>
      </c>
      <c r="O107" s="6">
        <v>46057</v>
      </c>
      <c r="P107" s="56" t="s">
        <v>1233</v>
      </c>
      <c r="Q107" s="7" t="s">
        <v>19</v>
      </c>
      <c r="R107" s="5" t="s">
        <v>23</v>
      </c>
      <c r="S107" s="7" t="s">
        <v>75</v>
      </c>
      <c r="T107" s="7" t="s">
        <v>12</v>
      </c>
      <c r="U107" s="7" t="s">
        <v>84</v>
      </c>
      <c r="V107" s="7" t="s">
        <v>794</v>
      </c>
      <c r="W107" s="7" t="s">
        <v>133</v>
      </c>
      <c r="X107" s="7" t="s">
        <v>771</v>
      </c>
      <c r="Y107" s="5" t="s">
        <v>122</v>
      </c>
      <c r="Z107" s="7" t="s">
        <v>808</v>
      </c>
      <c r="AA107" s="7"/>
      <c r="AB107" s="7"/>
      <c r="AC107" s="7"/>
    </row>
    <row r="108" spans="1:29" ht="14.45" customHeight="1" x14ac:dyDescent="0.25">
      <c r="A108" s="5">
        <v>177</v>
      </c>
      <c r="B108" s="5" t="s">
        <v>6</v>
      </c>
      <c r="C108" s="7">
        <v>3</v>
      </c>
      <c r="D108" s="5" t="s">
        <v>10</v>
      </c>
      <c r="E108" s="6"/>
      <c r="F108" s="5" t="s">
        <v>155</v>
      </c>
      <c r="G108" s="7" t="s">
        <v>39</v>
      </c>
      <c r="H108" s="7" t="s">
        <v>156</v>
      </c>
      <c r="I108" s="7" t="s">
        <v>157</v>
      </c>
      <c r="J108" s="1">
        <v>225000</v>
      </c>
      <c r="K108" s="1">
        <v>224200</v>
      </c>
      <c r="L108" s="1">
        <v>170400</v>
      </c>
      <c r="M108" s="1">
        <v>53800</v>
      </c>
      <c r="N108" s="8">
        <f t="shared" si="3"/>
        <v>0.76003568242640496</v>
      </c>
      <c r="O108" s="6">
        <v>46020</v>
      </c>
      <c r="P108" s="7" t="s">
        <v>158</v>
      </c>
      <c r="Q108" s="7" t="s">
        <v>14</v>
      </c>
      <c r="R108" s="5" t="s">
        <v>26</v>
      </c>
      <c r="S108" s="7" t="s">
        <v>75</v>
      </c>
      <c r="T108" s="7" t="s">
        <v>12</v>
      </c>
      <c r="U108" s="7" t="s">
        <v>84</v>
      </c>
      <c r="V108" s="7" t="s">
        <v>782</v>
      </c>
      <c r="W108" s="7" t="s">
        <v>133</v>
      </c>
      <c r="X108" s="7" t="s">
        <v>771</v>
      </c>
      <c r="Y108" s="5" t="s">
        <v>122</v>
      </c>
      <c r="Z108" s="7"/>
      <c r="AA108" s="7"/>
      <c r="AB108" s="7"/>
      <c r="AC108" s="7"/>
    </row>
    <row r="109" spans="1:29" ht="14.45" customHeight="1" x14ac:dyDescent="0.25">
      <c r="A109" s="5">
        <v>201</v>
      </c>
      <c r="B109" s="5" t="s">
        <v>6</v>
      </c>
      <c r="C109" s="7">
        <v>3</v>
      </c>
      <c r="D109" s="5" t="s">
        <v>10</v>
      </c>
      <c r="E109" s="6">
        <v>46106</v>
      </c>
      <c r="F109" s="5" t="s">
        <v>735</v>
      </c>
      <c r="G109" s="7" t="s">
        <v>736</v>
      </c>
      <c r="H109" s="32" t="s">
        <v>737</v>
      </c>
      <c r="I109" s="7" t="s">
        <v>738</v>
      </c>
      <c r="J109" s="1">
        <v>50000</v>
      </c>
      <c r="K109" s="1">
        <v>50050</v>
      </c>
      <c r="L109" s="1">
        <v>33600</v>
      </c>
      <c r="M109" s="1">
        <v>16450</v>
      </c>
      <c r="N109" s="8">
        <f t="shared" si="3"/>
        <v>0.67132867132867136</v>
      </c>
      <c r="O109" s="6">
        <v>46024</v>
      </c>
      <c r="P109" s="7" t="s">
        <v>739</v>
      </c>
      <c r="Q109" s="7" t="s">
        <v>40</v>
      </c>
      <c r="R109" s="5" t="s">
        <v>26</v>
      </c>
      <c r="S109" s="7" t="s">
        <v>75</v>
      </c>
      <c r="T109" s="7" t="s">
        <v>17</v>
      </c>
      <c r="U109" s="7" t="s">
        <v>128</v>
      </c>
      <c r="V109" s="7" t="s">
        <v>773</v>
      </c>
      <c r="W109" s="7" t="s">
        <v>127</v>
      </c>
      <c r="X109" s="7" t="s">
        <v>771</v>
      </c>
      <c r="Y109" s="5" t="s">
        <v>122</v>
      </c>
      <c r="Z109" s="7"/>
      <c r="AA109" s="7"/>
      <c r="AB109" s="7"/>
      <c r="AC109" s="7"/>
    </row>
    <row r="110" spans="1:29" ht="14.45" customHeight="1" x14ac:dyDescent="0.25">
      <c r="A110" s="9">
        <v>170</v>
      </c>
      <c r="B110" s="9" t="s">
        <v>6</v>
      </c>
      <c r="C110" s="11">
        <v>3</v>
      </c>
      <c r="D110" s="9" t="s">
        <v>10</v>
      </c>
      <c r="E110" s="10"/>
      <c r="F110" s="9" t="s">
        <v>123</v>
      </c>
      <c r="G110" s="11" t="s">
        <v>61</v>
      </c>
      <c r="H110" s="11" t="s">
        <v>124</v>
      </c>
      <c r="I110" s="11" t="s">
        <v>125</v>
      </c>
      <c r="J110" s="2">
        <v>67100</v>
      </c>
      <c r="K110" s="2">
        <v>0</v>
      </c>
      <c r="L110" s="2"/>
      <c r="M110" s="2"/>
      <c r="N110" s="12" t="str">
        <f t="shared" si="3"/>
        <v/>
      </c>
      <c r="O110" s="10">
        <v>46077</v>
      </c>
      <c r="P110" s="11" t="s">
        <v>126</v>
      </c>
      <c r="Q110" s="11" t="s">
        <v>18</v>
      </c>
      <c r="R110" s="9" t="s">
        <v>23</v>
      </c>
      <c r="S110" s="11" t="s">
        <v>76</v>
      </c>
      <c r="T110" s="11" t="s">
        <v>25</v>
      </c>
      <c r="U110" s="11" t="s">
        <v>128</v>
      </c>
      <c r="V110" s="11" t="s">
        <v>773</v>
      </c>
      <c r="W110" s="11" t="s">
        <v>127</v>
      </c>
      <c r="X110" s="11" t="s">
        <v>771</v>
      </c>
      <c r="Y110" s="9" t="s">
        <v>774</v>
      </c>
      <c r="Z110" s="11" t="s">
        <v>775</v>
      </c>
      <c r="AA110" s="11" t="s">
        <v>776</v>
      </c>
      <c r="AB110" s="11" t="s">
        <v>777</v>
      </c>
      <c r="AC110" s="11"/>
    </row>
    <row r="111" spans="1:29" ht="14.45" customHeight="1" x14ac:dyDescent="0.25">
      <c r="A111" s="26"/>
      <c r="B111" s="20" t="s">
        <v>6</v>
      </c>
      <c r="C111" s="11">
        <v>3</v>
      </c>
      <c r="D111" s="26" t="s">
        <v>13</v>
      </c>
      <c r="E111" s="27">
        <v>46092</v>
      </c>
      <c r="F111" s="26">
        <v>22222</v>
      </c>
      <c r="G111" s="28" t="s">
        <v>1157</v>
      </c>
      <c r="H111" s="33">
        <v>4001300</v>
      </c>
      <c r="I111" s="28" t="s">
        <v>1158</v>
      </c>
      <c r="J111" s="29">
        <v>22500</v>
      </c>
      <c r="K111" s="29">
        <v>7200</v>
      </c>
      <c r="L111" s="29">
        <v>5130</v>
      </c>
      <c r="M111" s="23">
        <v>2070</v>
      </c>
      <c r="N111" s="24">
        <f t="shared" si="3"/>
        <v>0.71250000000000002</v>
      </c>
      <c r="O111" s="27">
        <v>46132</v>
      </c>
      <c r="P111" s="28" t="s">
        <v>1160</v>
      </c>
      <c r="Q111" s="28" t="s">
        <v>18</v>
      </c>
      <c r="R111" s="26" t="s">
        <v>23</v>
      </c>
      <c r="S111" s="28"/>
      <c r="T111" s="11" t="s">
        <v>22</v>
      </c>
      <c r="U111" s="28"/>
      <c r="V111" s="28"/>
      <c r="W111" s="28"/>
      <c r="X111" s="28" t="s">
        <v>454</v>
      </c>
      <c r="Y111" s="26"/>
      <c r="Z111" s="28"/>
      <c r="AA111" s="28"/>
      <c r="AB111" s="28"/>
      <c r="AC111" s="28"/>
    </row>
    <row r="112" spans="1:29" ht="14.45" customHeight="1" x14ac:dyDescent="0.25">
      <c r="A112" s="9">
        <v>106</v>
      </c>
      <c r="B112" s="5" t="s">
        <v>6</v>
      </c>
      <c r="C112" s="11">
        <v>3</v>
      </c>
      <c r="D112" s="9" t="s">
        <v>13</v>
      </c>
      <c r="E112" s="10">
        <v>46093</v>
      </c>
      <c r="F112" s="9" t="s">
        <v>707</v>
      </c>
      <c r="G112" s="11" t="s">
        <v>45</v>
      </c>
      <c r="H112" s="11" t="s">
        <v>708</v>
      </c>
      <c r="I112" s="11" t="s">
        <v>709</v>
      </c>
      <c r="J112" s="2">
        <v>4475</v>
      </c>
      <c r="K112" s="2">
        <v>5600</v>
      </c>
      <c r="L112" s="2">
        <v>4450</v>
      </c>
      <c r="M112" s="2">
        <v>1150</v>
      </c>
      <c r="N112" s="12">
        <f t="shared" si="3"/>
        <v>0.7946428571428571</v>
      </c>
      <c r="O112" s="10">
        <v>46064</v>
      </c>
      <c r="P112" s="11" t="s">
        <v>710</v>
      </c>
      <c r="Q112" s="11" t="s">
        <v>19</v>
      </c>
      <c r="R112" s="9" t="s">
        <v>23</v>
      </c>
      <c r="S112" s="11" t="s">
        <v>75</v>
      </c>
      <c r="T112" s="28" t="s">
        <v>12</v>
      </c>
      <c r="U112" s="11" t="s">
        <v>12</v>
      </c>
      <c r="V112" s="11" t="s">
        <v>133</v>
      </c>
      <c r="W112" s="11" t="s">
        <v>83</v>
      </c>
      <c r="X112" s="11"/>
      <c r="Y112" s="9" t="s">
        <v>122</v>
      </c>
      <c r="Z112" s="11"/>
      <c r="AA112" s="11"/>
      <c r="AB112" s="11"/>
      <c r="AC112" s="11"/>
    </row>
    <row r="113" spans="1:29" ht="14.45" customHeight="1" x14ac:dyDescent="0.25">
      <c r="A113" s="5">
        <v>194</v>
      </c>
      <c r="B113" s="5" t="s">
        <v>6</v>
      </c>
      <c r="C113" s="11">
        <v>3</v>
      </c>
      <c r="D113" s="5" t="s">
        <v>13</v>
      </c>
      <c r="E113" s="6">
        <v>46094</v>
      </c>
      <c r="F113" s="5" t="s">
        <v>711</v>
      </c>
      <c r="G113" s="11" t="s">
        <v>42</v>
      </c>
      <c r="H113" s="7" t="s">
        <v>712</v>
      </c>
      <c r="I113" s="7" t="s">
        <v>713</v>
      </c>
      <c r="J113" s="1">
        <v>30000</v>
      </c>
      <c r="K113" s="1">
        <v>17600</v>
      </c>
      <c r="L113" s="1">
        <v>12800</v>
      </c>
      <c r="M113" s="1">
        <v>500</v>
      </c>
      <c r="N113" s="8">
        <f t="shared" si="3"/>
        <v>0.72727272727272729</v>
      </c>
      <c r="O113" s="6">
        <v>46077</v>
      </c>
      <c r="P113" s="7" t="s">
        <v>714</v>
      </c>
      <c r="Q113" s="7" t="s">
        <v>40</v>
      </c>
      <c r="R113" s="5" t="s">
        <v>26</v>
      </c>
      <c r="S113" s="7" t="s">
        <v>76</v>
      </c>
      <c r="T113" s="11" t="s">
        <v>1236</v>
      </c>
      <c r="U113" s="7" t="s">
        <v>716</v>
      </c>
      <c r="V113" s="7" t="s">
        <v>801</v>
      </c>
      <c r="W113" s="7" t="s">
        <v>715</v>
      </c>
      <c r="X113" s="7" t="s">
        <v>784</v>
      </c>
      <c r="Y113" s="5" t="s">
        <v>122</v>
      </c>
      <c r="Z113" s="7"/>
      <c r="AA113" s="7"/>
      <c r="AB113" s="7"/>
      <c r="AC113" s="7"/>
    </row>
    <row r="114" spans="1:29" ht="14.45" customHeight="1" x14ac:dyDescent="0.25">
      <c r="A114" s="9">
        <v>196</v>
      </c>
      <c r="B114" s="5" t="s">
        <v>6</v>
      </c>
      <c r="C114" s="11">
        <v>3</v>
      </c>
      <c r="D114" s="9" t="s">
        <v>13</v>
      </c>
      <c r="E114" s="10">
        <v>46098</v>
      </c>
      <c r="F114" s="9" t="s">
        <v>721</v>
      </c>
      <c r="G114" s="11" t="s">
        <v>722</v>
      </c>
      <c r="H114" s="11" t="s">
        <v>723</v>
      </c>
      <c r="I114" s="11" t="s">
        <v>724</v>
      </c>
      <c r="J114" s="2">
        <v>125000</v>
      </c>
      <c r="K114" s="2">
        <v>7900</v>
      </c>
      <c r="L114" s="2">
        <v>7400</v>
      </c>
      <c r="M114" s="2">
        <v>500</v>
      </c>
      <c r="N114" s="12">
        <f t="shared" si="3"/>
        <v>0.93670886075949367</v>
      </c>
      <c r="O114" s="10">
        <v>46043</v>
      </c>
      <c r="P114" s="11" t="s">
        <v>725</v>
      </c>
      <c r="Q114" s="11" t="s">
        <v>18</v>
      </c>
      <c r="R114" s="9" t="s">
        <v>23</v>
      </c>
      <c r="S114" s="11" t="s">
        <v>76</v>
      </c>
      <c r="T114" s="11" t="s">
        <v>22</v>
      </c>
      <c r="U114" s="11" t="s">
        <v>86</v>
      </c>
      <c r="V114" s="11" t="s">
        <v>798</v>
      </c>
      <c r="W114" s="11" t="s">
        <v>715</v>
      </c>
      <c r="X114" s="11" t="s">
        <v>784</v>
      </c>
      <c r="Y114" s="9" t="s">
        <v>122</v>
      </c>
      <c r="Z114" s="11"/>
      <c r="AA114" s="11"/>
      <c r="AB114" s="11"/>
      <c r="AC114" s="11"/>
    </row>
    <row r="115" spans="1:29" ht="14.45" customHeight="1" x14ac:dyDescent="0.25">
      <c r="A115" s="9">
        <v>188</v>
      </c>
      <c r="B115" s="9" t="s">
        <v>6</v>
      </c>
      <c r="C115" s="11">
        <v>3</v>
      </c>
      <c r="D115" s="9" t="s">
        <v>10</v>
      </c>
      <c r="E115" s="10">
        <v>46091</v>
      </c>
      <c r="F115" s="9" t="s">
        <v>642</v>
      </c>
      <c r="G115" s="11" t="s">
        <v>42</v>
      </c>
      <c r="H115" s="11" t="s">
        <v>657</v>
      </c>
      <c r="I115" s="11" t="s">
        <v>691</v>
      </c>
      <c r="J115" s="2">
        <v>7800</v>
      </c>
      <c r="K115" s="2">
        <v>4600</v>
      </c>
      <c r="L115" s="2">
        <v>4600</v>
      </c>
      <c r="M115" s="2">
        <v>0</v>
      </c>
      <c r="N115" s="12">
        <f t="shared" si="3"/>
        <v>1</v>
      </c>
      <c r="O115" s="10">
        <v>46057</v>
      </c>
      <c r="P115" s="11" t="s">
        <v>692</v>
      </c>
      <c r="Q115" s="11" t="s">
        <v>18</v>
      </c>
      <c r="R115" s="9" t="s">
        <v>23</v>
      </c>
      <c r="S115" s="11" t="s">
        <v>75</v>
      </c>
      <c r="T115" s="11" t="s">
        <v>22</v>
      </c>
      <c r="U115" s="11" t="s">
        <v>693</v>
      </c>
      <c r="V115" s="11" t="s">
        <v>798</v>
      </c>
      <c r="W115" s="11" t="s">
        <v>127</v>
      </c>
      <c r="X115" s="11" t="s">
        <v>771</v>
      </c>
      <c r="Y115" s="9" t="s">
        <v>122</v>
      </c>
      <c r="Z115" s="11"/>
      <c r="AA115" s="11"/>
      <c r="AB115" s="11"/>
      <c r="AC115" s="11"/>
    </row>
    <row r="116" spans="1:29" ht="14.45" customHeight="1" x14ac:dyDescent="0.25">
      <c r="A116" s="9">
        <v>110</v>
      </c>
      <c r="B116" s="5" t="s">
        <v>6</v>
      </c>
      <c r="C116" s="11">
        <v>3</v>
      </c>
      <c r="D116" s="9" t="s">
        <v>13</v>
      </c>
      <c r="E116" s="10">
        <v>46099</v>
      </c>
      <c r="F116" s="9" t="s">
        <v>726</v>
      </c>
      <c r="G116" s="11" t="s">
        <v>42</v>
      </c>
      <c r="H116" s="11" t="s">
        <v>727</v>
      </c>
      <c r="I116" s="11" t="s">
        <v>728</v>
      </c>
      <c r="J116" s="1">
        <v>30000</v>
      </c>
      <c r="K116" s="1">
        <v>10000</v>
      </c>
      <c r="L116" s="1">
        <v>10000</v>
      </c>
      <c r="M116" s="1">
        <v>0</v>
      </c>
      <c r="N116" s="8">
        <f t="shared" si="3"/>
        <v>1</v>
      </c>
      <c r="O116" s="6">
        <v>46100</v>
      </c>
      <c r="P116" s="7" t="s">
        <v>729</v>
      </c>
      <c r="Q116" s="7" t="s">
        <v>19</v>
      </c>
      <c r="R116" s="5" t="s">
        <v>23</v>
      </c>
      <c r="S116" s="7" t="s">
        <v>75</v>
      </c>
      <c r="T116" s="7" t="s">
        <v>12</v>
      </c>
      <c r="U116" s="11"/>
      <c r="V116" s="11"/>
      <c r="W116" s="11"/>
      <c r="X116" s="11"/>
      <c r="Y116" s="9" t="s">
        <v>122</v>
      </c>
      <c r="Z116" s="11"/>
      <c r="AA116" s="11"/>
      <c r="AB116" s="11"/>
      <c r="AC116" s="11"/>
    </row>
    <row r="117" spans="1:29" s="25" customFormat="1" ht="14.45" customHeight="1" x14ac:dyDescent="0.25">
      <c r="A117" s="5">
        <v>111</v>
      </c>
      <c r="B117" s="5" t="s">
        <v>6</v>
      </c>
      <c r="C117" s="11">
        <v>3</v>
      </c>
      <c r="D117" s="5" t="s">
        <v>13</v>
      </c>
      <c r="E117" s="6">
        <v>46100</v>
      </c>
      <c r="F117" s="5" t="s">
        <v>726</v>
      </c>
      <c r="G117" s="11" t="s">
        <v>42</v>
      </c>
      <c r="H117" s="7" t="s">
        <v>727</v>
      </c>
      <c r="I117" s="7" t="s">
        <v>728</v>
      </c>
      <c r="J117" s="1">
        <v>30000</v>
      </c>
      <c r="K117" s="1">
        <v>16400</v>
      </c>
      <c r="L117" s="1">
        <v>14000</v>
      </c>
      <c r="M117" s="1">
        <v>2400</v>
      </c>
      <c r="N117" s="8">
        <f t="shared" si="3"/>
        <v>0.85365853658536583</v>
      </c>
      <c r="O117" s="6">
        <v>46101</v>
      </c>
      <c r="P117" s="7" t="s">
        <v>706</v>
      </c>
      <c r="Q117" s="7" t="s">
        <v>19</v>
      </c>
      <c r="R117" s="5" t="s">
        <v>23</v>
      </c>
      <c r="S117" s="7" t="s">
        <v>75</v>
      </c>
      <c r="T117" s="7" t="s">
        <v>12</v>
      </c>
      <c r="U117" s="7"/>
      <c r="V117" s="7"/>
      <c r="W117" s="7"/>
      <c r="X117" s="7"/>
      <c r="Y117" s="5" t="s">
        <v>122</v>
      </c>
      <c r="Z117" s="7"/>
      <c r="AA117" s="7"/>
      <c r="AB117" s="7"/>
      <c r="AC117" s="7"/>
    </row>
    <row r="118" spans="1:29" ht="14.45" customHeight="1" x14ac:dyDescent="0.25">
      <c r="A118" s="9">
        <v>178</v>
      </c>
      <c r="B118" s="9" t="s">
        <v>6</v>
      </c>
      <c r="C118" s="11">
        <v>3</v>
      </c>
      <c r="D118" s="9" t="s">
        <v>10</v>
      </c>
      <c r="E118" s="10"/>
      <c r="F118" s="9" t="s">
        <v>159</v>
      </c>
      <c r="G118" s="7" t="s">
        <v>39</v>
      </c>
      <c r="H118" s="11" t="s">
        <v>160</v>
      </c>
      <c r="I118" s="11" t="s">
        <v>161</v>
      </c>
      <c r="J118" s="2">
        <v>6950</v>
      </c>
      <c r="K118" s="2">
        <v>7000</v>
      </c>
      <c r="L118" s="2">
        <v>1750</v>
      </c>
      <c r="M118" s="2">
        <v>5250</v>
      </c>
      <c r="N118" s="12">
        <f t="shared" si="3"/>
        <v>0.25</v>
      </c>
      <c r="O118" s="10">
        <v>46080</v>
      </c>
      <c r="P118" s="11" t="s">
        <v>162</v>
      </c>
      <c r="Q118" s="11" t="s">
        <v>27</v>
      </c>
      <c r="R118" s="9" t="s">
        <v>26</v>
      </c>
      <c r="S118" s="11" t="s">
        <v>75</v>
      </c>
      <c r="T118" s="11" t="s">
        <v>17</v>
      </c>
      <c r="U118" s="11" t="s">
        <v>83</v>
      </c>
      <c r="V118" s="11" t="s">
        <v>778</v>
      </c>
      <c r="W118" s="11" t="s">
        <v>133</v>
      </c>
      <c r="X118" s="11" t="s">
        <v>771</v>
      </c>
      <c r="Y118" s="9" t="s">
        <v>122</v>
      </c>
      <c r="Z118" s="11"/>
      <c r="AA118" s="11"/>
      <c r="AB118" s="11"/>
      <c r="AC118" s="11"/>
    </row>
    <row r="119" spans="1:29" ht="14.45" customHeight="1" x14ac:dyDescent="0.25">
      <c r="A119" s="9">
        <v>184</v>
      </c>
      <c r="B119" s="9" t="s">
        <v>6</v>
      </c>
      <c r="C119" s="11">
        <v>3</v>
      </c>
      <c r="D119" s="9" t="s">
        <v>10</v>
      </c>
      <c r="E119" s="10">
        <v>46085</v>
      </c>
      <c r="F119" s="9" t="s">
        <v>676</v>
      </c>
      <c r="G119" s="11" t="s">
        <v>52</v>
      </c>
      <c r="H119" s="11" t="s">
        <v>508</v>
      </c>
      <c r="I119" s="11" t="s">
        <v>509</v>
      </c>
      <c r="J119" s="2">
        <v>2884000</v>
      </c>
      <c r="K119" s="2">
        <v>623</v>
      </c>
      <c r="L119" s="2">
        <v>0</v>
      </c>
      <c r="M119" s="2">
        <v>623</v>
      </c>
      <c r="N119" s="12">
        <f t="shared" si="3"/>
        <v>0</v>
      </c>
      <c r="O119" s="10">
        <v>45654</v>
      </c>
      <c r="P119" s="11" t="s">
        <v>677</v>
      </c>
      <c r="Q119" s="11" t="s">
        <v>24</v>
      </c>
      <c r="R119" s="9" t="s">
        <v>26</v>
      </c>
      <c r="S119" s="11" t="s">
        <v>75</v>
      </c>
      <c r="T119" s="11" t="s">
        <v>17</v>
      </c>
      <c r="U119" s="11" t="s">
        <v>679</v>
      </c>
      <c r="V119" s="11" t="s">
        <v>791</v>
      </c>
      <c r="W119" s="11" t="s">
        <v>678</v>
      </c>
      <c r="X119" s="11" t="s">
        <v>771</v>
      </c>
      <c r="Y119" s="9" t="s">
        <v>122</v>
      </c>
      <c r="Z119" s="11" t="s">
        <v>792</v>
      </c>
      <c r="AA119" s="11" t="s">
        <v>793</v>
      </c>
      <c r="AB119" s="11" t="s">
        <v>492</v>
      </c>
      <c r="AC119" s="11"/>
    </row>
    <row r="120" spans="1:29" ht="14.45" customHeight="1" x14ac:dyDescent="0.25">
      <c r="A120" s="9">
        <v>182</v>
      </c>
      <c r="B120" s="9" t="s">
        <v>6</v>
      </c>
      <c r="C120" s="11">
        <v>3</v>
      </c>
      <c r="D120" s="9" t="s">
        <v>10</v>
      </c>
      <c r="E120" s="10">
        <v>46085</v>
      </c>
      <c r="F120" s="9" t="s">
        <v>493</v>
      </c>
      <c r="G120" s="11" t="s">
        <v>52</v>
      </c>
      <c r="H120" s="11" t="s">
        <v>494</v>
      </c>
      <c r="I120" s="11" t="s">
        <v>495</v>
      </c>
      <c r="J120" s="2">
        <v>2650000</v>
      </c>
      <c r="K120" s="2">
        <v>435</v>
      </c>
      <c r="L120" s="2">
        <v>0</v>
      </c>
      <c r="M120" s="2">
        <v>435</v>
      </c>
      <c r="N120" s="12">
        <f t="shared" si="3"/>
        <v>0</v>
      </c>
      <c r="O120" s="10">
        <v>45947</v>
      </c>
      <c r="P120" s="11" t="s">
        <v>674</v>
      </c>
      <c r="Q120" s="11" t="s">
        <v>58</v>
      </c>
      <c r="R120" s="9" t="s">
        <v>29</v>
      </c>
      <c r="S120" s="11" t="s">
        <v>75</v>
      </c>
      <c r="T120" s="11" t="s">
        <v>44</v>
      </c>
      <c r="U120" s="11" t="s">
        <v>82</v>
      </c>
      <c r="V120" s="11" t="s">
        <v>68</v>
      </c>
      <c r="W120" s="11" t="s">
        <v>332</v>
      </c>
      <c r="X120" s="11" t="s">
        <v>771</v>
      </c>
      <c r="Y120" s="9" t="s">
        <v>122</v>
      </c>
      <c r="Z120" s="11" t="s">
        <v>785</v>
      </c>
      <c r="AA120" s="11" t="s">
        <v>786</v>
      </c>
      <c r="AB120" s="11" t="s">
        <v>787</v>
      </c>
      <c r="AC120" s="11"/>
    </row>
    <row r="121" spans="1:29" ht="14.45" customHeight="1" x14ac:dyDescent="0.25">
      <c r="A121" s="5">
        <v>183</v>
      </c>
      <c r="B121" s="5" t="s">
        <v>6</v>
      </c>
      <c r="C121" s="7">
        <v>3</v>
      </c>
      <c r="D121" s="5" t="s">
        <v>10</v>
      </c>
      <c r="E121" s="6">
        <v>46085</v>
      </c>
      <c r="F121" s="5" t="s">
        <v>501</v>
      </c>
      <c r="G121" s="7" t="s">
        <v>52</v>
      </c>
      <c r="H121" s="7" t="s">
        <v>502</v>
      </c>
      <c r="I121" s="7" t="s">
        <v>503</v>
      </c>
      <c r="J121" s="1">
        <v>1900000</v>
      </c>
      <c r="K121" s="1">
        <v>368</v>
      </c>
      <c r="L121" s="1">
        <v>0</v>
      </c>
      <c r="M121" s="1">
        <v>368</v>
      </c>
      <c r="N121" s="8">
        <f t="shared" si="3"/>
        <v>0</v>
      </c>
      <c r="O121" s="6">
        <v>45929</v>
      </c>
      <c r="P121" s="7" t="s">
        <v>675</v>
      </c>
      <c r="Q121" s="7" t="s">
        <v>14</v>
      </c>
      <c r="R121" s="5" t="s">
        <v>26</v>
      </c>
      <c r="S121" s="7" t="s">
        <v>75</v>
      </c>
      <c r="T121" s="7" t="s">
        <v>12</v>
      </c>
      <c r="U121" s="7" t="s">
        <v>87</v>
      </c>
      <c r="V121" s="7" t="s">
        <v>788</v>
      </c>
      <c r="W121" s="7" t="s">
        <v>499</v>
      </c>
      <c r="X121" s="7" t="s">
        <v>771</v>
      </c>
      <c r="Y121" s="5" t="s">
        <v>122</v>
      </c>
      <c r="Z121" s="7" t="s">
        <v>789</v>
      </c>
      <c r="AA121" s="7" t="s">
        <v>790</v>
      </c>
      <c r="AB121" s="7" t="s">
        <v>492</v>
      </c>
      <c r="AC121" s="7"/>
    </row>
    <row r="122" spans="1:29" ht="14.45" customHeight="1" x14ac:dyDescent="0.25">
      <c r="A122" s="5">
        <v>195</v>
      </c>
      <c r="B122" s="5" t="s">
        <v>6</v>
      </c>
      <c r="C122" s="7">
        <v>3</v>
      </c>
      <c r="D122" s="5" t="s">
        <v>10</v>
      </c>
      <c r="E122" s="6">
        <v>46098</v>
      </c>
      <c r="F122" s="5" t="s">
        <v>525</v>
      </c>
      <c r="G122" s="7" t="s">
        <v>47</v>
      </c>
      <c r="H122" s="7" t="s">
        <v>717</v>
      </c>
      <c r="I122" s="7" t="s">
        <v>718</v>
      </c>
      <c r="J122" s="1">
        <v>165000</v>
      </c>
      <c r="K122" s="1">
        <v>101500</v>
      </c>
      <c r="L122" s="1">
        <v>86000</v>
      </c>
      <c r="M122" s="1">
        <v>15000</v>
      </c>
      <c r="N122" s="8">
        <f t="shared" si="3"/>
        <v>0.84729064039408863</v>
      </c>
      <c r="O122" s="6">
        <v>45967</v>
      </c>
      <c r="P122" s="7" t="s">
        <v>719</v>
      </c>
      <c r="Q122" s="7" t="s">
        <v>33</v>
      </c>
      <c r="R122" s="5" t="s">
        <v>23</v>
      </c>
      <c r="S122" s="7" t="s">
        <v>75</v>
      </c>
      <c r="T122" s="11" t="s">
        <v>44</v>
      </c>
      <c r="U122" s="7" t="s">
        <v>82</v>
      </c>
      <c r="V122" s="7" t="s">
        <v>720</v>
      </c>
      <c r="W122" s="7" t="s">
        <v>720</v>
      </c>
      <c r="X122" s="7" t="s">
        <v>771</v>
      </c>
      <c r="Y122" s="5" t="s">
        <v>122</v>
      </c>
      <c r="Z122" s="7" t="s">
        <v>802</v>
      </c>
      <c r="AA122" s="7" t="s">
        <v>803</v>
      </c>
      <c r="AB122" s="7" t="s">
        <v>804</v>
      </c>
      <c r="AC122" s="7"/>
    </row>
    <row r="123" spans="1:29" s="25" customFormat="1" ht="14.45" customHeight="1" x14ac:dyDescent="0.25">
      <c r="A123" s="5">
        <v>199</v>
      </c>
      <c r="B123" s="5" t="s">
        <v>6</v>
      </c>
      <c r="C123" s="11">
        <v>3</v>
      </c>
      <c r="D123" s="5" t="s">
        <v>13</v>
      </c>
      <c r="E123" s="6">
        <v>46101</v>
      </c>
      <c r="F123" s="5" t="s">
        <v>726</v>
      </c>
      <c r="G123" s="11" t="s">
        <v>42</v>
      </c>
      <c r="H123" s="7" t="s">
        <v>730</v>
      </c>
      <c r="I123" s="7" t="s">
        <v>731</v>
      </c>
      <c r="J123" s="1">
        <v>63000</v>
      </c>
      <c r="K123" s="1">
        <v>25600</v>
      </c>
      <c r="L123" s="1">
        <v>23800</v>
      </c>
      <c r="M123" s="1">
        <v>1800</v>
      </c>
      <c r="N123" s="8">
        <f t="shared" si="3"/>
        <v>0.9296875</v>
      </c>
      <c r="O123" s="6">
        <v>46066</v>
      </c>
      <c r="P123" s="7" t="s">
        <v>591</v>
      </c>
      <c r="Q123" s="7" t="s">
        <v>19</v>
      </c>
      <c r="R123" s="5" t="s">
        <v>23</v>
      </c>
      <c r="S123" s="7" t="s">
        <v>75</v>
      </c>
      <c r="T123" s="7" t="s">
        <v>12</v>
      </c>
      <c r="U123" s="7" t="s">
        <v>83</v>
      </c>
      <c r="V123" s="7" t="s">
        <v>800</v>
      </c>
      <c r="W123" s="7" t="s">
        <v>133</v>
      </c>
      <c r="X123" s="7" t="s">
        <v>784</v>
      </c>
      <c r="Y123" s="5" t="s">
        <v>122</v>
      </c>
      <c r="Z123" s="7"/>
      <c r="AA123" s="7"/>
      <c r="AB123" s="7"/>
      <c r="AC123" s="7"/>
    </row>
    <row r="124" spans="1:29" s="25" customFormat="1" ht="14.45" customHeight="1" x14ac:dyDescent="0.25">
      <c r="A124" s="26"/>
      <c r="B124" s="20" t="s">
        <v>6</v>
      </c>
      <c r="C124" s="11">
        <v>3</v>
      </c>
      <c r="D124" s="26" t="s">
        <v>13</v>
      </c>
      <c r="E124" s="27">
        <v>46108</v>
      </c>
      <c r="F124" s="26">
        <v>3752</v>
      </c>
      <c r="G124" s="28" t="s">
        <v>1239</v>
      </c>
      <c r="H124" s="33">
        <v>4415013000157</v>
      </c>
      <c r="I124" s="28" t="s">
        <v>1155</v>
      </c>
      <c r="J124" s="29">
        <v>100000</v>
      </c>
      <c r="K124" s="29">
        <v>2500</v>
      </c>
      <c r="L124" s="29">
        <v>1500</v>
      </c>
      <c r="M124" s="23">
        <v>1000</v>
      </c>
      <c r="N124" s="24">
        <f t="shared" si="3"/>
        <v>0.6</v>
      </c>
      <c r="O124" s="27">
        <v>46085</v>
      </c>
      <c r="P124" s="28" t="s">
        <v>908</v>
      </c>
      <c r="Q124" s="28" t="s">
        <v>14</v>
      </c>
      <c r="R124" s="26" t="s">
        <v>26</v>
      </c>
      <c r="S124" s="28"/>
      <c r="T124" s="28" t="s">
        <v>12</v>
      </c>
      <c r="U124" s="28"/>
      <c r="V124" s="28"/>
      <c r="W124" s="28"/>
      <c r="X124" s="28"/>
      <c r="Y124" s="26"/>
      <c r="Z124" s="28"/>
      <c r="AA124" s="28"/>
      <c r="AB124" s="28"/>
      <c r="AC124" s="28"/>
    </row>
    <row r="125" spans="1:29" s="25" customFormat="1" ht="14.45" customHeight="1" x14ac:dyDescent="0.25">
      <c r="A125" s="9"/>
      <c r="B125" s="5" t="s">
        <v>6</v>
      </c>
      <c r="C125" s="11">
        <v>3</v>
      </c>
      <c r="D125" s="9" t="s">
        <v>13</v>
      </c>
      <c r="E125" s="10">
        <v>46108</v>
      </c>
      <c r="F125" s="9">
        <v>21932</v>
      </c>
      <c r="G125" s="11" t="s">
        <v>42</v>
      </c>
      <c r="H125" s="15">
        <v>4054001101451</v>
      </c>
      <c r="I125" s="11" t="s">
        <v>1154</v>
      </c>
      <c r="J125" s="2">
        <v>8000</v>
      </c>
      <c r="K125" s="2">
        <v>14400</v>
      </c>
      <c r="L125" s="2">
        <v>6075</v>
      </c>
      <c r="M125" s="2">
        <v>8325</v>
      </c>
      <c r="N125" s="12">
        <f t="shared" si="3"/>
        <v>0.421875</v>
      </c>
      <c r="O125" s="10">
        <v>46122</v>
      </c>
      <c r="P125" s="11" t="s">
        <v>639</v>
      </c>
      <c r="Q125" s="11" t="s">
        <v>19</v>
      </c>
      <c r="R125" s="9" t="s">
        <v>23</v>
      </c>
      <c r="S125" s="11" t="s">
        <v>75</v>
      </c>
      <c r="T125" s="28" t="s">
        <v>12</v>
      </c>
      <c r="U125" s="11"/>
      <c r="V125" s="11"/>
      <c r="W125" s="11"/>
      <c r="X125" s="11"/>
      <c r="Y125" s="9"/>
      <c r="Z125" s="11"/>
      <c r="AA125" s="11"/>
      <c r="AB125" s="11"/>
      <c r="AC125" s="11"/>
    </row>
    <row r="126" spans="1:29" ht="14.45" customHeight="1" x14ac:dyDescent="0.25">
      <c r="A126" s="26"/>
      <c r="B126" s="20" t="s">
        <v>6</v>
      </c>
      <c r="C126" s="11">
        <v>3</v>
      </c>
      <c r="D126" s="26" t="s">
        <v>13</v>
      </c>
      <c r="E126" s="27">
        <v>46108</v>
      </c>
      <c r="F126" s="26">
        <v>21977</v>
      </c>
      <c r="G126" s="11" t="s">
        <v>42</v>
      </c>
      <c r="H126" s="33">
        <v>1099685</v>
      </c>
      <c r="I126" s="28" t="s">
        <v>1156</v>
      </c>
      <c r="J126" s="29">
        <v>45000</v>
      </c>
      <c r="K126" s="29">
        <v>6000</v>
      </c>
      <c r="L126" s="29">
        <v>4500</v>
      </c>
      <c r="M126" s="23">
        <v>1500</v>
      </c>
      <c r="N126" s="24">
        <f t="shared" si="3"/>
        <v>0.75</v>
      </c>
      <c r="O126" s="27">
        <v>46079</v>
      </c>
      <c r="P126" s="28" t="s">
        <v>1159</v>
      </c>
      <c r="Q126" s="28" t="s">
        <v>1148</v>
      </c>
      <c r="R126" s="26" t="s">
        <v>26</v>
      </c>
      <c r="S126" s="28"/>
      <c r="T126" s="28" t="s">
        <v>17</v>
      </c>
      <c r="U126" s="28"/>
      <c r="V126" s="28"/>
      <c r="W126" s="28"/>
      <c r="X126" s="28" t="s">
        <v>454</v>
      </c>
      <c r="Y126" s="26"/>
      <c r="Z126" s="28"/>
      <c r="AA126" s="28"/>
      <c r="AB126" s="28"/>
      <c r="AC126" s="28"/>
    </row>
    <row r="127" spans="1:29" ht="14.45" customHeight="1" x14ac:dyDescent="0.25">
      <c r="A127" s="5">
        <v>213</v>
      </c>
      <c r="B127" s="5" t="s">
        <v>7</v>
      </c>
      <c r="C127" s="7">
        <v>4</v>
      </c>
      <c r="D127" s="5" t="s">
        <v>15</v>
      </c>
      <c r="E127" s="6">
        <v>46121</v>
      </c>
      <c r="F127" s="5" t="s">
        <v>825</v>
      </c>
      <c r="G127" s="7" t="s">
        <v>39</v>
      </c>
      <c r="H127" s="7" t="s">
        <v>826</v>
      </c>
      <c r="I127" s="7" t="s">
        <v>827</v>
      </c>
      <c r="J127" s="1">
        <v>10000</v>
      </c>
      <c r="K127" s="1">
        <v>0</v>
      </c>
      <c r="L127" s="1">
        <v>0</v>
      </c>
      <c r="M127" s="1">
        <v>0</v>
      </c>
      <c r="N127" s="8" t="str">
        <f t="shared" si="3"/>
        <v/>
      </c>
      <c r="O127" s="6">
        <v>46052</v>
      </c>
      <c r="P127" s="7" t="s">
        <v>828</v>
      </c>
      <c r="Q127" s="7" t="s">
        <v>51</v>
      </c>
      <c r="R127" s="5" t="s">
        <v>23</v>
      </c>
      <c r="S127" s="7" t="s">
        <v>11</v>
      </c>
      <c r="T127" s="11" t="s">
        <v>38</v>
      </c>
      <c r="U127" s="7" t="s">
        <v>82</v>
      </c>
      <c r="V127" s="7"/>
      <c r="W127" s="7"/>
      <c r="X127" s="7"/>
      <c r="Y127" s="5" t="s">
        <v>122</v>
      </c>
      <c r="Z127" s="7"/>
      <c r="AA127" s="7"/>
      <c r="AB127" s="7"/>
      <c r="AC127" s="7"/>
    </row>
    <row r="128" spans="1:29" ht="14.45" customHeight="1" x14ac:dyDescent="0.25">
      <c r="A128" s="9">
        <v>214</v>
      </c>
      <c r="B128" s="9" t="s">
        <v>7</v>
      </c>
      <c r="C128" s="11">
        <v>4</v>
      </c>
      <c r="D128" s="9" t="s">
        <v>15</v>
      </c>
      <c r="E128" s="10">
        <v>46121</v>
      </c>
      <c r="F128" s="9" t="s">
        <v>825</v>
      </c>
      <c r="G128" s="7" t="s">
        <v>39</v>
      </c>
      <c r="H128" s="11" t="s">
        <v>829</v>
      </c>
      <c r="I128" s="11" t="s">
        <v>830</v>
      </c>
      <c r="J128" s="2">
        <v>26000</v>
      </c>
      <c r="K128" s="2">
        <v>0</v>
      </c>
      <c r="L128" s="2">
        <v>0</v>
      </c>
      <c r="M128" s="2">
        <v>0</v>
      </c>
      <c r="N128" s="12" t="str">
        <f t="shared" si="3"/>
        <v/>
      </c>
      <c r="O128" s="10">
        <v>46052</v>
      </c>
      <c r="P128" s="11" t="s">
        <v>828</v>
      </c>
      <c r="Q128" s="11" t="s">
        <v>51</v>
      </c>
      <c r="R128" s="9" t="s">
        <v>23</v>
      </c>
      <c r="S128" s="11" t="s">
        <v>11</v>
      </c>
      <c r="T128" s="11" t="s">
        <v>38</v>
      </c>
      <c r="U128" s="11" t="s">
        <v>82</v>
      </c>
      <c r="V128" s="11"/>
      <c r="W128" s="11"/>
      <c r="X128" s="11"/>
      <c r="Y128" s="9" t="s">
        <v>122</v>
      </c>
      <c r="Z128" s="11"/>
      <c r="AA128" s="11"/>
      <c r="AB128" s="11"/>
      <c r="AC128" s="11"/>
    </row>
    <row r="129" spans="1:29" ht="14.45" customHeight="1" x14ac:dyDescent="0.25">
      <c r="A129" s="5">
        <v>215</v>
      </c>
      <c r="B129" s="5" t="s">
        <v>7</v>
      </c>
      <c r="C129" s="7">
        <v>4</v>
      </c>
      <c r="D129" s="5" t="s">
        <v>10</v>
      </c>
      <c r="E129" s="6">
        <v>46121</v>
      </c>
      <c r="F129" s="5" t="s">
        <v>825</v>
      </c>
      <c r="G129" s="7" t="s">
        <v>39</v>
      </c>
      <c r="H129" s="7" t="s">
        <v>831</v>
      </c>
      <c r="I129" s="7" t="s">
        <v>832</v>
      </c>
      <c r="J129" s="1">
        <v>9000</v>
      </c>
      <c r="K129" s="1">
        <v>1875</v>
      </c>
      <c r="L129" s="1">
        <v>1200</v>
      </c>
      <c r="M129" s="1">
        <v>6485</v>
      </c>
      <c r="N129" s="8">
        <f t="shared" si="3"/>
        <v>0.64</v>
      </c>
      <c r="O129" s="6">
        <v>46052</v>
      </c>
      <c r="P129" s="7" t="s">
        <v>833</v>
      </c>
      <c r="Q129" s="7" t="s">
        <v>14</v>
      </c>
      <c r="R129" s="5" t="s">
        <v>26</v>
      </c>
      <c r="S129" s="7" t="s">
        <v>78</v>
      </c>
      <c r="T129" s="7" t="s">
        <v>12</v>
      </c>
      <c r="U129" s="7" t="s">
        <v>834</v>
      </c>
      <c r="V129" s="7" t="s">
        <v>835</v>
      </c>
      <c r="W129" s="7" t="s">
        <v>813</v>
      </c>
      <c r="X129" s="7" t="s">
        <v>454</v>
      </c>
      <c r="Y129" s="5" t="s">
        <v>122</v>
      </c>
      <c r="Z129" s="7"/>
      <c r="AA129" s="7"/>
      <c r="AB129" s="7"/>
      <c r="AC129" s="7"/>
    </row>
    <row r="130" spans="1:29" ht="14.45" customHeight="1" x14ac:dyDescent="0.25">
      <c r="A130" s="9">
        <v>216</v>
      </c>
      <c r="B130" s="9" t="s">
        <v>7</v>
      </c>
      <c r="C130" s="11">
        <v>4</v>
      </c>
      <c r="D130" s="9" t="s">
        <v>10</v>
      </c>
      <c r="E130" s="10">
        <v>46121</v>
      </c>
      <c r="F130" s="9" t="s">
        <v>825</v>
      </c>
      <c r="G130" s="7" t="s">
        <v>39</v>
      </c>
      <c r="H130" s="11" t="s">
        <v>831</v>
      </c>
      <c r="I130" s="11" t="s">
        <v>836</v>
      </c>
      <c r="J130" s="2">
        <v>2000</v>
      </c>
      <c r="K130" s="2">
        <v>1875</v>
      </c>
      <c r="L130" s="2">
        <v>1200</v>
      </c>
      <c r="M130" s="2">
        <v>675</v>
      </c>
      <c r="N130" s="12">
        <f t="shared" si="3"/>
        <v>0.64</v>
      </c>
      <c r="O130" s="10">
        <v>46052</v>
      </c>
      <c r="P130" s="11" t="s">
        <v>833</v>
      </c>
      <c r="Q130" s="11" t="s">
        <v>27</v>
      </c>
      <c r="R130" s="9" t="s">
        <v>26</v>
      </c>
      <c r="S130" s="11" t="s">
        <v>78</v>
      </c>
      <c r="T130" s="11" t="s">
        <v>12</v>
      </c>
      <c r="U130" s="11" t="s">
        <v>834</v>
      </c>
      <c r="V130" s="11" t="s">
        <v>835</v>
      </c>
      <c r="W130" s="11" t="s">
        <v>813</v>
      </c>
      <c r="X130" s="11" t="s">
        <v>454</v>
      </c>
      <c r="Y130" s="9" t="s">
        <v>122</v>
      </c>
      <c r="Z130" s="11"/>
      <c r="AA130" s="11"/>
      <c r="AB130" s="11"/>
      <c r="AC130" s="11"/>
    </row>
    <row r="131" spans="1:29" ht="14.45" customHeight="1" x14ac:dyDescent="0.25">
      <c r="A131" s="5">
        <v>217</v>
      </c>
      <c r="B131" s="5" t="s">
        <v>7</v>
      </c>
      <c r="C131" s="7">
        <v>4</v>
      </c>
      <c r="D131" s="5" t="s">
        <v>15</v>
      </c>
      <c r="E131" s="6">
        <v>46125</v>
      </c>
      <c r="F131" s="5" t="s">
        <v>441</v>
      </c>
      <c r="G131" s="7" t="s">
        <v>63</v>
      </c>
      <c r="H131" s="7" t="s">
        <v>442</v>
      </c>
      <c r="I131" s="7" t="s">
        <v>443</v>
      </c>
      <c r="J131" s="1">
        <v>300000</v>
      </c>
      <c r="K131" s="1">
        <v>1000</v>
      </c>
      <c r="L131" s="1">
        <v>0</v>
      </c>
      <c r="M131" s="1">
        <v>0</v>
      </c>
      <c r="N131" s="8">
        <f t="shared" si="3"/>
        <v>0</v>
      </c>
      <c r="O131" s="6">
        <v>45859</v>
      </c>
      <c r="P131" s="7" t="s">
        <v>837</v>
      </c>
      <c r="Q131" s="7" t="s">
        <v>14</v>
      </c>
      <c r="R131" s="5" t="s">
        <v>26</v>
      </c>
      <c r="S131" s="7" t="s">
        <v>75</v>
      </c>
      <c r="T131" s="7" t="s">
        <v>12</v>
      </c>
      <c r="U131" s="7" t="s">
        <v>838</v>
      </c>
      <c r="V131" s="7" t="s">
        <v>839</v>
      </c>
      <c r="W131" s="7" t="s">
        <v>813</v>
      </c>
      <c r="X131" s="7"/>
      <c r="Y131" s="5" t="s">
        <v>122</v>
      </c>
      <c r="Z131" s="7"/>
      <c r="AA131" s="7"/>
      <c r="AB131" s="7"/>
      <c r="AC131" s="7"/>
    </row>
    <row r="132" spans="1:29" ht="14.45" customHeight="1" x14ac:dyDescent="0.25">
      <c r="A132" s="9">
        <v>218</v>
      </c>
      <c r="B132" s="9" t="s">
        <v>7</v>
      </c>
      <c r="C132" s="11">
        <v>4</v>
      </c>
      <c r="D132" s="9" t="s">
        <v>10</v>
      </c>
      <c r="E132" s="10">
        <v>46125</v>
      </c>
      <c r="F132" s="9" t="s">
        <v>840</v>
      </c>
      <c r="G132" s="7" t="s">
        <v>39</v>
      </c>
      <c r="H132" s="11" t="s">
        <v>841</v>
      </c>
      <c r="I132" s="11" t="s">
        <v>842</v>
      </c>
      <c r="J132" s="2">
        <v>11000</v>
      </c>
      <c r="K132" s="2">
        <v>10500</v>
      </c>
      <c r="L132" s="2"/>
      <c r="M132" s="2"/>
      <c r="N132" s="12">
        <f t="shared" ref="N132:N162" si="4">IFERROR(L132/K132,"")</f>
        <v>0</v>
      </c>
      <c r="O132" s="10">
        <v>46051</v>
      </c>
      <c r="P132" s="11" t="s">
        <v>843</v>
      </c>
      <c r="Q132" s="11" t="s">
        <v>14</v>
      </c>
      <c r="R132" s="9" t="s">
        <v>26</v>
      </c>
      <c r="S132" s="11" t="s">
        <v>78</v>
      </c>
      <c r="T132" s="11" t="s">
        <v>12</v>
      </c>
      <c r="U132" s="11" t="s">
        <v>844</v>
      </c>
      <c r="V132" s="11"/>
      <c r="W132" s="11" t="s">
        <v>813</v>
      </c>
      <c r="X132" s="11" t="s">
        <v>454</v>
      </c>
      <c r="Y132" s="9" t="s">
        <v>122</v>
      </c>
      <c r="Z132" s="11"/>
      <c r="AA132" s="11"/>
      <c r="AB132" s="11"/>
      <c r="AC132" s="11"/>
    </row>
    <row r="133" spans="1:29" ht="14.45" customHeight="1" x14ac:dyDescent="0.25">
      <c r="A133" s="5">
        <v>219</v>
      </c>
      <c r="B133" s="5" t="s">
        <v>7</v>
      </c>
      <c r="C133" s="7">
        <v>4</v>
      </c>
      <c r="D133" s="5" t="s">
        <v>10</v>
      </c>
      <c r="E133" s="6">
        <v>46125</v>
      </c>
      <c r="F133" s="5" t="s">
        <v>845</v>
      </c>
      <c r="G133" s="7" t="s">
        <v>39</v>
      </c>
      <c r="H133" s="7" t="s">
        <v>846</v>
      </c>
      <c r="I133" s="7" t="s">
        <v>847</v>
      </c>
      <c r="J133" s="1">
        <v>214000</v>
      </c>
      <c r="K133" s="1">
        <v>211200</v>
      </c>
      <c r="L133" s="1">
        <v>209000</v>
      </c>
      <c r="M133" s="1">
        <f>+K133-L133</f>
        <v>2200</v>
      </c>
      <c r="N133" s="8">
        <f t="shared" si="4"/>
        <v>0.98958333333333337</v>
      </c>
      <c r="O133" s="6">
        <v>46051</v>
      </c>
      <c r="P133" s="7" t="s">
        <v>848</v>
      </c>
      <c r="Q133" s="7" t="s">
        <v>14</v>
      </c>
      <c r="R133" s="5" t="s">
        <v>26</v>
      </c>
      <c r="S133" s="7" t="s">
        <v>78</v>
      </c>
      <c r="T133" s="7" t="s">
        <v>12</v>
      </c>
      <c r="U133" s="7" t="s">
        <v>844</v>
      </c>
      <c r="V133" s="7"/>
      <c r="W133" s="7" t="s">
        <v>813</v>
      </c>
      <c r="X133" s="7" t="s">
        <v>454</v>
      </c>
      <c r="Y133" s="5" t="s">
        <v>122</v>
      </c>
      <c r="Z133" s="7"/>
      <c r="AA133" s="7"/>
      <c r="AB133" s="7"/>
      <c r="AC133" s="7"/>
    </row>
    <row r="134" spans="1:29" ht="14.45" customHeight="1" x14ac:dyDescent="0.25">
      <c r="A134" s="9">
        <v>220</v>
      </c>
      <c r="B134" s="9" t="s">
        <v>7</v>
      </c>
      <c r="C134" s="11">
        <v>4</v>
      </c>
      <c r="D134" s="9" t="s">
        <v>10</v>
      </c>
      <c r="E134" s="10">
        <v>46125</v>
      </c>
      <c r="F134" s="9" t="s">
        <v>849</v>
      </c>
      <c r="G134" s="7" t="s">
        <v>39</v>
      </c>
      <c r="H134" s="11" t="s">
        <v>850</v>
      </c>
      <c r="I134" s="11" t="s">
        <v>851</v>
      </c>
      <c r="J134" s="2">
        <v>20000</v>
      </c>
      <c r="K134" s="2">
        <v>18485</v>
      </c>
      <c r="L134" s="2">
        <v>12000</v>
      </c>
      <c r="M134" s="2">
        <v>6485</v>
      </c>
      <c r="N134" s="12">
        <f t="shared" si="4"/>
        <v>0.6491750067622396</v>
      </c>
      <c r="O134" s="10">
        <v>46092</v>
      </c>
      <c r="P134" s="11" t="s">
        <v>852</v>
      </c>
      <c r="Q134" s="11" t="s">
        <v>14</v>
      </c>
      <c r="R134" s="9" t="s">
        <v>26</v>
      </c>
      <c r="S134" s="11" t="s">
        <v>75</v>
      </c>
      <c r="T134" s="11" t="s">
        <v>12</v>
      </c>
      <c r="U134" s="11" t="s">
        <v>853</v>
      </c>
      <c r="V134" s="11" t="s">
        <v>854</v>
      </c>
      <c r="W134" s="11" t="s">
        <v>813</v>
      </c>
      <c r="X134" s="11" t="s">
        <v>454</v>
      </c>
      <c r="Y134" s="9" t="s">
        <v>122</v>
      </c>
      <c r="Z134" s="11"/>
      <c r="AA134" s="11"/>
      <c r="AB134" s="11"/>
      <c r="AC134" s="11"/>
    </row>
    <row r="135" spans="1:29" ht="14.45" customHeight="1" x14ac:dyDescent="0.25">
      <c r="A135" s="5">
        <v>221</v>
      </c>
      <c r="B135" s="5" t="s">
        <v>7</v>
      </c>
      <c r="C135" s="7">
        <v>4</v>
      </c>
      <c r="D135" s="5" t="s">
        <v>10</v>
      </c>
      <c r="E135" s="6">
        <v>46132</v>
      </c>
      <c r="F135" s="5" t="s">
        <v>818</v>
      </c>
      <c r="G135" s="7" t="s">
        <v>39</v>
      </c>
      <c r="H135" s="7" t="s">
        <v>855</v>
      </c>
      <c r="I135" s="7" t="s">
        <v>856</v>
      </c>
      <c r="J135" s="1">
        <v>90000</v>
      </c>
      <c r="K135" s="1">
        <v>89500</v>
      </c>
      <c r="L135" s="1">
        <v>80550</v>
      </c>
      <c r="M135" s="1">
        <f>+K135-L135</f>
        <v>8950</v>
      </c>
      <c r="N135" s="8">
        <f t="shared" si="4"/>
        <v>0.9</v>
      </c>
      <c r="O135" s="6">
        <v>46097</v>
      </c>
      <c r="P135" s="7" t="s">
        <v>857</v>
      </c>
      <c r="Q135" s="7" t="s">
        <v>14</v>
      </c>
      <c r="R135" s="5" t="s">
        <v>26</v>
      </c>
      <c r="S135" s="7" t="s">
        <v>78</v>
      </c>
      <c r="T135" s="7" t="s">
        <v>12</v>
      </c>
      <c r="U135" s="7" t="s">
        <v>83</v>
      </c>
      <c r="V135" s="7" t="s">
        <v>799</v>
      </c>
      <c r="W135" s="7" t="s">
        <v>813</v>
      </c>
      <c r="X135" s="7" t="s">
        <v>454</v>
      </c>
      <c r="Y135" s="5" t="s">
        <v>122</v>
      </c>
      <c r="Z135" s="7"/>
      <c r="AA135" s="7"/>
      <c r="AB135" s="7"/>
      <c r="AC135" s="7"/>
    </row>
    <row r="136" spans="1:29" ht="14.45" customHeight="1" x14ac:dyDescent="0.25">
      <c r="A136" s="9">
        <v>222</v>
      </c>
      <c r="B136" s="9" t="s">
        <v>7</v>
      </c>
      <c r="C136" s="11">
        <v>4</v>
      </c>
      <c r="D136" s="9" t="s">
        <v>10</v>
      </c>
      <c r="E136" s="10">
        <v>46133</v>
      </c>
      <c r="F136" s="9" t="s">
        <v>858</v>
      </c>
      <c r="G136" s="11" t="s">
        <v>859</v>
      </c>
      <c r="H136" s="11" t="s">
        <v>860</v>
      </c>
      <c r="I136" s="11" t="s">
        <v>861</v>
      </c>
      <c r="J136" s="2">
        <v>35000</v>
      </c>
      <c r="K136" s="2">
        <v>36250</v>
      </c>
      <c r="L136" s="2">
        <v>31125</v>
      </c>
      <c r="M136" s="2">
        <v>5125</v>
      </c>
      <c r="N136" s="12">
        <f t="shared" si="4"/>
        <v>0.85862068965517246</v>
      </c>
      <c r="O136" s="10">
        <v>46092</v>
      </c>
      <c r="P136" s="11" t="s">
        <v>862</v>
      </c>
      <c r="Q136" s="11" t="s">
        <v>18</v>
      </c>
      <c r="R136" s="9" t="s">
        <v>23</v>
      </c>
      <c r="S136" s="11" t="s">
        <v>77</v>
      </c>
      <c r="T136" s="11" t="s">
        <v>22</v>
      </c>
      <c r="U136" s="11" t="s">
        <v>383</v>
      </c>
      <c r="V136" s="11" t="s">
        <v>805</v>
      </c>
      <c r="W136" s="11" t="s">
        <v>715</v>
      </c>
      <c r="X136" s="11" t="s">
        <v>454</v>
      </c>
      <c r="Y136" s="9" t="s">
        <v>122</v>
      </c>
      <c r="Z136" s="11"/>
      <c r="AA136" s="11"/>
      <c r="AB136" s="11"/>
      <c r="AC136" s="11"/>
    </row>
    <row r="137" spans="1:29" ht="14.45" customHeight="1" x14ac:dyDescent="0.25">
      <c r="A137" s="26"/>
      <c r="B137" s="20" t="s">
        <v>6</v>
      </c>
      <c r="C137" s="11">
        <v>3</v>
      </c>
      <c r="D137" s="26" t="s">
        <v>13</v>
      </c>
      <c r="E137" s="27">
        <v>46112</v>
      </c>
      <c r="F137" s="26">
        <v>21978</v>
      </c>
      <c r="G137" s="11" t="s">
        <v>42</v>
      </c>
      <c r="H137" s="33">
        <v>1100136</v>
      </c>
      <c r="I137" s="28" t="s">
        <v>912</v>
      </c>
      <c r="J137" s="29">
        <v>7000</v>
      </c>
      <c r="K137" s="29">
        <v>7200</v>
      </c>
      <c r="L137" s="29">
        <v>6450</v>
      </c>
      <c r="M137" s="23">
        <v>750</v>
      </c>
      <c r="N137" s="24">
        <f t="shared" si="4"/>
        <v>0.89583333333333337</v>
      </c>
      <c r="O137" s="27"/>
      <c r="P137" s="28" t="s">
        <v>639</v>
      </c>
      <c r="Q137" s="28" t="s">
        <v>19</v>
      </c>
      <c r="R137" s="26" t="s">
        <v>23</v>
      </c>
      <c r="S137" s="28"/>
      <c r="T137" s="28" t="s">
        <v>12</v>
      </c>
      <c r="U137" s="28"/>
      <c r="V137" s="28"/>
      <c r="W137" s="28"/>
      <c r="X137" s="28" t="s">
        <v>454</v>
      </c>
      <c r="Y137" s="26"/>
      <c r="Z137" s="28"/>
      <c r="AA137" s="28"/>
      <c r="AB137" s="28"/>
      <c r="AC137" s="28"/>
    </row>
    <row r="138" spans="1:29" s="46" customFormat="1" ht="14.45" customHeight="1" x14ac:dyDescent="0.25">
      <c r="A138" s="41"/>
      <c r="B138" s="41" t="s">
        <v>7</v>
      </c>
      <c r="C138" s="43">
        <v>4</v>
      </c>
      <c r="D138" s="41" t="s">
        <v>13</v>
      </c>
      <c r="E138" s="42">
        <v>46119</v>
      </c>
      <c r="F138" s="41">
        <v>22042</v>
      </c>
      <c r="G138" s="7" t="s">
        <v>39</v>
      </c>
      <c r="H138" s="47">
        <v>4093150704278</v>
      </c>
      <c r="I138" s="43" t="s">
        <v>1161</v>
      </c>
      <c r="J138" s="44">
        <v>12000</v>
      </c>
      <c r="K138" s="44">
        <v>15300</v>
      </c>
      <c r="L138" s="44">
        <v>9600</v>
      </c>
      <c r="M138" s="44">
        <v>5700</v>
      </c>
      <c r="N138" s="45">
        <f t="shared" si="4"/>
        <v>0.62745098039215685</v>
      </c>
      <c r="O138" s="42">
        <v>46106</v>
      </c>
      <c r="P138" s="43" t="s">
        <v>1164</v>
      </c>
      <c r="Q138" s="43" t="s">
        <v>24</v>
      </c>
      <c r="R138" s="41" t="s">
        <v>26</v>
      </c>
      <c r="S138" s="43" t="s">
        <v>75</v>
      </c>
      <c r="T138" s="43" t="s">
        <v>17</v>
      </c>
      <c r="U138" s="43"/>
      <c r="V138" s="43"/>
      <c r="W138" s="43"/>
      <c r="X138" s="43"/>
      <c r="Y138" s="41"/>
      <c r="Z138" s="43"/>
      <c r="AA138" s="43"/>
      <c r="AB138" s="43"/>
      <c r="AC138" s="43"/>
    </row>
    <row r="139" spans="1:29" ht="14.45" customHeight="1" x14ac:dyDescent="0.25">
      <c r="A139" s="9">
        <v>226</v>
      </c>
      <c r="B139" s="9" t="s">
        <v>7</v>
      </c>
      <c r="C139" s="11">
        <v>4</v>
      </c>
      <c r="D139" s="9" t="s">
        <v>10</v>
      </c>
      <c r="E139" s="10">
        <v>46141</v>
      </c>
      <c r="F139" s="9" t="s">
        <v>159</v>
      </c>
      <c r="G139" s="7" t="s">
        <v>39</v>
      </c>
      <c r="H139" s="11" t="s">
        <v>160</v>
      </c>
      <c r="I139" s="11" t="s">
        <v>161</v>
      </c>
      <c r="J139" s="2">
        <v>6950</v>
      </c>
      <c r="K139" s="2">
        <v>1750</v>
      </c>
      <c r="L139" s="2">
        <v>1625</v>
      </c>
      <c r="M139" s="2">
        <v>125</v>
      </c>
      <c r="N139" s="12">
        <f t="shared" si="4"/>
        <v>0.9285714285714286</v>
      </c>
      <c r="O139" s="10">
        <v>46080</v>
      </c>
      <c r="P139" s="11" t="s">
        <v>873</v>
      </c>
      <c r="Q139" s="11" t="s">
        <v>14</v>
      </c>
      <c r="R139" s="9" t="s">
        <v>26</v>
      </c>
      <c r="S139" s="11" t="s">
        <v>76</v>
      </c>
      <c r="T139" s="11" t="s">
        <v>12</v>
      </c>
      <c r="U139" s="11" t="s">
        <v>83</v>
      </c>
      <c r="V139" s="11" t="s">
        <v>778</v>
      </c>
      <c r="W139" s="11" t="s">
        <v>133</v>
      </c>
      <c r="X139" s="11" t="s">
        <v>454</v>
      </c>
      <c r="Y139" s="9" t="s">
        <v>122</v>
      </c>
      <c r="Z139" s="11"/>
      <c r="AA139" s="11"/>
      <c r="AB139" s="11"/>
      <c r="AC139" s="11"/>
    </row>
    <row r="140" spans="1:29" ht="14.45" customHeight="1" x14ac:dyDescent="0.25">
      <c r="A140" s="5">
        <v>227</v>
      </c>
      <c r="B140" s="5" t="s">
        <v>7</v>
      </c>
      <c r="C140" s="7">
        <v>4</v>
      </c>
      <c r="D140" s="5" t="s">
        <v>10</v>
      </c>
      <c r="E140" s="6">
        <v>46141</v>
      </c>
      <c r="F140" s="5" t="s">
        <v>818</v>
      </c>
      <c r="G140" s="7" t="s">
        <v>39</v>
      </c>
      <c r="H140" s="7" t="s">
        <v>874</v>
      </c>
      <c r="I140" s="7" t="s">
        <v>875</v>
      </c>
      <c r="J140" s="1">
        <v>10000</v>
      </c>
      <c r="K140" s="1">
        <v>10350</v>
      </c>
      <c r="L140" s="1">
        <v>10035</v>
      </c>
      <c r="M140" s="1">
        <v>315</v>
      </c>
      <c r="N140" s="8">
        <f t="shared" si="4"/>
        <v>0.9695652173913043</v>
      </c>
      <c r="O140" s="6">
        <v>46097</v>
      </c>
      <c r="P140" s="7" t="s">
        <v>876</v>
      </c>
      <c r="Q140" s="7" t="s">
        <v>14</v>
      </c>
      <c r="R140" s="5" t="s">
        <v>26</v>
      </c>
      <c r="S140" s="7" t="s">
        <v>75</v>
      </c>
      <c r="T140" s="7" t="s">
        <v>12</v>
      </c>
      <c r="U140" s="7" t="s">
        <v>83</v>
      </c>
      <c r="V140" s="7" t="s">
        <v>799</v>
      </c>
      <c r="W140" s="7" t="s">
        <v>813</v>
      </c>
      <c r="X140" s="7" t="s">
        <v>454</v>
      </c>
      <c r="Y140" s="5" t="s">
        <v>122</v>
      </c>
      <c r="Z140" s="7"/>
      <c r="AA140" s="7"/>
      <c r="AB140" s="7"/>
      <c r="AC140" s="7"/>
    </row>
    <row r="141" spans="1:29" ht="14.45" customHeight="1" x14ac:dyDescent="0.25">
      <c r="A141" s="9">
        <v>228</v>
      </c>
      <c r="B141" s="9" t="s">
        <v>7</v>
      </c>
      <c r="C141" s="11">
        <v>4</v>
      </c>
      <c r="D141" s="9" t="s">
        <v>10</v>
      </c>
      <c r="E141" s="10">
        <v>46141</v>
      </c>
      <c r="F141" s="9" t="s">
        <v>877</v>
      </c>
      <c r="G141" s="11" t="s">
        <v>54</v>
      </c>
      <c r="H141" s="11" t="s">
        <v>625</v>
      </c>
      <c r="I141" s="11" t="s">
        <v>626</v>
      </c>
      <c r="J141" s="2">
        <v>15000</v>
      </c>
      <c r="K141" s="2">
        <v>15000</v>
      </c>
      <c r="L141" s="2">
        <v>0</v>
      </c>
      <c r="M141" s="2">
        <v>15000</v>
      </c>
      <c r="N141" s="12">
        <f t="shared" si="4"/>
        <v>0</v>
      </c>
      <c r="O141" s="10">
        <v>46093</v>
      </c>
      <c r="P141" s="11" t="s">
        <v>878</v>
      </c>
      <c r="Q141" s="11" t="s">
        <v>19</v>
      </c>
      <c r="R141" s="9" t="s">
        <v>23</v>
      </c>
      <c r="S141" s="11" t="s">
        <v>77</v>
      </c>
      <c r="T141" s="11" t="s">
        <v>12</v>
      </c>
      <c r="U141" s="11" t="s">
        <v>83</v>
      </c>
      <c r="V141" s="11" t="s">
        <v>778</v>
      </c>
      <c r="W141" s="11" t="s">
        <v>813</v>
      </c>
      <c r="X141" s="11" t="s">
        <v>454</v>
      </c>
      <c r="Y141" s="9" t="s">
        <v>122</v>
      </c>
      <c r="Z141" s="11"/>
      <c r="AA141" s="11"/>
      <c r="AB141" s="11"/>
      <c r="AC141" s="11"/>
    </row>
    <row r="142" spans="1:29" ht="14.45" customHeight="1" x14ac:dyDescent="0.25">
      <c r="A142" s="5">
        <v>229</v>
      </c>
      <c r="B142" s="5" t="s">
        <v>7</v>
      </c>
      <c r="C142" s="7">
        <v>4</v>
      </c>
      <c r="D142" s="5" t="s">
        <v>10</v>
      </c>
      <c r="E142" s="6">
        <v>46141</v>
      </c>
      <c r="F142" s="5" t="s">
        <v>877</v>
      </c>
      <c r="G142" s="7" t="s">
        <v>54</v>
      </c>
      <c r="H142" s="7" t="s">
        <v>629</v>
      </c>
      <c r="I142" s="7" t="s">
        <v>630</v>
      </c>
      <c r="J142" s="1">
        <v>14000</v>
      </c>
      <c r="K142" s="2">
        <v>14000</v>
      </c>
      <c r="L142" s="1">
        <v>0</v>
      </c>
      <c r="M142" s="1">
        <v>14500</v>
      </c>
      <c r="N142" s="8">
        <f t="shared" si="4"/>
        <v>0</v>
      </c>
      <c r="O142" s="6">
        <v>46093</v>
      </c>
      <c r="P142" s="7" t="s">
        <v>879</v>
      </c>
      <c r="Q142" s="7" t="s">
        <v>19</v>
      </c>
      <c r="R142" s="5" t="s">
        <v>23</v>
      </c>
      <c r="S142" s="7" t="s">
        <v>77</v>
      </c>
      <c r="T142" s="7" t="s">
        <v>12</v>
      </c>
      <c r="U142" s="7" t="s">
        <v>83</v>
      </c>
      <c r="V142" s="7" t="s">
        <v>778</v>
      </c>
      <c r="W142" s="7" t="s">
        <v>813</v>
      </c>
      <c r="X142" s="7" t="s">
        <v>454</v>
      </c>
      <c r="Y142" s="5" t="s">
        <v>122</v>
      </c>
      <c r="Z142" s="7"/>
      <c r="AA142" s="7"/>
      <c r="AB142" s="7"/>
      <c r="AC142" s="7"/>
    </row>
    <row r="143" spans="1:29" s="25" customFormat="1" ht="14.45" customHeight="1" x14ac:dyDescent="0.25">
      <c r="A143" s="26">
        <v>256</v>
      </c>
      <c r="B143" s="26" t="s">
        <v>8</v>
      </c>
      <c r="C143" s="28">
        <v>5</v>
      </c>
      <c r="D143" s="26" t="s">
        <v>13</v>
      </c>
      <c r="E143" s="27">
        <v>46157</v>
      </c>
      <c r="F143" s="26" t="s">
        <v>985</v>
      </c>
      <c r="G143" s="28" t="s">
        <v>986</v>
      </c>
      <c r="H143" s="28" t="s">
        <v>987</v>
      </c>
      <c r="I143" s="28" t="s">
        <v>988</v>
      </c>
      <c r="J143" s="29">
        <v>10000</v>
      </c>
      <c r="K143" s="29">
        <v>1925</v>
      </c>
      <c r="L143" s="29"/>
      <c r="M143" s="29">
        <v>1925</v>
      </c>
      <c r="N143" s="30">
        <f t="shared" si="4"/>
        <v>0</v>
      </c>
      <c r="O143" s="27">
        <v>46084</v>
      </c>
      <c r="P143" s="28" t="s">
        <v>989</v>
      </c>
      <c r="Q143" s="28" t="s">
        <v>55</v>
      </c>
      <c r="R143" s="26" t="s">
        <v>23</v>
      </c>
      <c r="S143" s="28" t="s">
        <v>11</v>
      </c>
      <c r="T143" s="11" t="s">
        <v>22</v>
      </c>
      <c r="U143" s="28" t="s">
        <v>82</v>
      </c>
      <c r="V143" s="28"/>
      <c r="W143" s="28"/>
      <c r="X143" s="28" t="s">
        <v>866</v>
      </c>
      <c r="Y143" s="26" t="s">
        <v>122</v>
      </c>
      <c r="Z143" s="28"/>
      <c r="AA143" s="28"/>
      <c r="AB143" s="28"/>
      <c r="AC143" s="28"/>
    </row>
    <row r="144" spans="1:29" s="25" customFormat="1" ht="14.45" customHeight="1" x14ac:dyDescent="0.25">
      <c r="A144" s="26"/>
      <c r="B144" s="26" t="s">
        <v>8</v>
      </c>
      <c r="C144" s="28">
        <v>5</v>
      </c>
      <c r="D144" s="26" t="s">
        <v>13</v>
      </c>
      <c r="E144" s="27">
        <v>46161</v>
      </c>
      <c r="F144" s="26">
        <v>22202</v>
      </c>
      <c r="G144" s="28" t="s">
        <v>1179</v>
      </c>
      <c r="H144" s="33">
        <v>4097001127704</v>
      </c>
      <c r="I144" s="28" t="s">
        <v>881</v>
      </c>
      <c r="J144" s="29">
        <v>10000</v>
      </c>
      <c r="K144" s="29">
        <v>1925</v>
      </c>
      <c r="L144" s="29">
        <v>0</v>
      </c>
      <c r="M144" s="29">
        <v>1925</v>
      </c>
      <c r="N144" s="30">
        <f t="shared" si="4"/>
        <v>0</v>
      </c>
      <c r="O144" s="27">
        <v>46129</v>
      </c>
      <c r="P144" s="28" t="s">
        <v>882</v>
      </c>
      <c r="Q144" s="28" t="s">
        <v>19</v>
      </c>
      <c r="R144" s="26" t="s">
        <v>23</v>
      </c>
      <c r="S144" s="28"/>
      <c r="T144" s="28" t="s">
        <v>1194</v>
      </c>
      <c r="U144" s="28"/>
      <c r="V144" s="28"/>
      <c r="W144" s="28"/>
      <c r="X144" s="28"/>
      <c r="Y144" s="26"/>
      <c r="Z144" s="28"/>
      <c r="AA144" s="28"/>
      <c r="AB144" s="28"/>
      <c r="AC144" s="28"/>
    </row>
    <row r="145" spans="1:29" s="25" customFormat="1" ht="14.45" customHeight="1" x14ac:dyDescent="0.25">
      <c r="A145" s="26">
        <v>234</v>
      </c>
      <c r="B145" s="26" t="s">
        <v>8</v>
      </c>
      <c r="C145" s="28">
        <v>5</v>
      </c>
      <c r="D145" s="26" t="s">
        <v>13</v>
      </c>
      <c r="E145" s="27">
        <v>46146</v>
      </c>
      <c r="F145" s="26" t="s">
        <v>902</v>
      </c>
      <c r="G145" s="7" t="s">
        <v>39</v>
      </c>
      <c r="H145" s="28" t="s">
        <v>903</v>
      </c>
      <c r="I145" s="28" t="s">
        <v>904</v>
      </c>
      <c r="J145" s="29">
        <v>20000</v>
      </c>
      <c r="K145" s="29">
        <v>21500</v>
      </c>
      <c r="L145" s="29">
        <v>16400</v>
      </c>
      <c r="M145" s="29">
        <v>5100</v>
      </c>
      <c r="N145" s="30">
        <f t="shared" si="4"/>
        <v>0.76279069767441865</v>
      </c>
      <c r="O145" s="27">
        <v>46113</v>
      </c>
      <c r="P145" s="28" t="s">
        <v>905</v>
      </c>
      <c r="Q145" s="28" t="s">
        <v>24</v>
      </c>
      <c r="R145" s="26" t="s">
        <v>26</v>
      </c>
      <c r="S145" s="28" t="s">
        <v>75</v>
      </c>
      <c r="T145" s="28" t="s">
        <v>17</v>
      </c>
      <c r="U145" s="28" t="s">
        <v>83</v>
      </c>
      <c r="V145" s="28" t="s">
        <v>778</v>
      </c>
      <c r="W145" s="28" t="s">
        <v>813</v>
      </c>
      <c r="X145" s="28" t="s">
        <v>889</v>
      </c>
      <c r="Y145" s="26" t="s">
        <v>122</v>
      </c>
      <c r="Z145" s="28"/>
      <c r="AA145" s="28"/>
      <c r="AB145" s="28"/>
      <c r="AC145" s="28"/>
    </row>
    <row r="146" spans="1:29" ht="14.45" customHeight="1" x14ac:dyDescent="0.25">
      <c r="A146" s="9">
        <v>233</v>
      </c>
      <c r="B146" s="9" t="s">
        <v>8</v>
      </c>
      <c r="C146" s="11">
        <v>5</v>
      </c>
      <c r="D146" s="9" t="s">
        <v>10</v>
      </c>
      <c r="E146" s="10">
        <v>46146</v>
      </c>
      <c r="F146" s="9" t="s">
        <v>895</v>
      </c>
      <c r="G146" s="11" t="s">
        <v>66</v>
      </c>
      <c r="H146" s="11" t="s">
        <v>896</v>
      </c>
      <c r="I146" s="11" t="s">
        <v>897</v>
      </c>
      <c r="J146" s="2">
        <v>4600</v>
      </c>
      <c r="K146" s="2">
        <v>4400</v>
      </c>
      <c r="L146" s="2">
        <v>4400</v>
      </c>
      <c r="M146" s="2">
        <v>0</v>
      </c>
      <c r="N146" s="12">
        <f t="shared" si="4"/>
        <v>1</v>
      </c>
      <c r="O146" s="10">
        <v>46118</v>
      </c>
      <c r="P146" s="11" t="s">
        <v>898</v>
      </c>
      <c r="Q146" s="11" t="s">
        <v>18</v>
      </c>
      <c r="R146" s="9" t="s">
        <v>23</v>
      </c>
      <c r="S146" s="11" t="s">
        <v>77</v>
      </c>
      <c r="T146" s="11" t="s">
        <v>22</v>
      </c>
      <c r="U146" s="11" t="s">
        <v>86</v>
      </c>
      <c r="V146" s="11" t="s">
        <v>798</v>
      </c>
      <c r="W146" s="11" t="s">
        <v>715</v>
      </c>
      <c r="X146" s="11" t="s">
        <v>889</v>
      </c>
      <c r="Y146" s="9" t="s">
        <v>122</v>
      </c>
      <c r="Z146" s="11"/>
      <c r="AA146" s="11" t="s">
        <v>899</v>
      </c>
      <c r="AB146" s="11" t="s">
        <v>900</v>
      </c>
      <c r="AC146" s="11" t="s">
        <v>901</v>
      </c>
    </row>
    <row r="147" spans="1:29" s="25" customFormat="1" ht="14.45" customHeight="1" x14ac:dyDescent="0.25">
      <c r="A147" s="26">
        <v>235</v>
      </c>
      <c r="B147" s="26" t="s">
        <v>8</v>
      </c>
      <c r="C147" s="28">
        <v>5</v>
      </c>
      <c r="D147" s="26" t="s">
        <v>13</v>
      </c>
      <c r="E147" s="27">
        <v>46146</v>
      </c>
      <c r="F147" s="26" t="s">
        <v>902</v>
      </c>
      <c r="G147" s="7" t="s">
        <v>39</v>
      </c>
      <c r="H147" s="28" t="s">
        <v>906</v>
      </c>
      <c r="I147" s="28" t="s">
        <v>907</v>
      </c>
      <c r="J147" s="29">
        <v>10000</v>
      </c>
      <c r="K147" s="29">
        <v>10350</v>
      </c>
      <c r="L147" s="29">
        <v>5320</v>
      </c>
      <c r="M147" s="29">
        <v>5030</v>
      </c>
      <c r="N147" s="30">
        <f t="shared" si="4"/>
        <v>0.51400966183574881</v>
      </c>
      <c r="O147" s="27">
        <v>46113</v>
      </c>
      <c r="P147" s="28" t="s">
        <v>908</v>
      </c>
      <c r="Q147" s="28" t="s">
        <v>14</v>
      </c>
      <c r="R147" s="26" t="s">
        <v>26</v>
      </c>
      <c r="S147" s="28" t="s">
        <v>75</v>
      </c>
      <c r="T147" s="28" t="s">
        <v>12</v>
      </c>
      <c r="U147" s="28" t="s">
        <v>83</v>
      </c>
      <c r="V147" s="28" t="s">
        <v>909</v>
      </c>
      <c r="W147" s="28" t="s">
        <v>813</v>
      </c>
      <c r="X147" s="28" t="s">
        <v>889</v>
      </c>
      <c r="Y147" s="26" t="s">
        <v>122</v>
      </c>
      <c r="Z147" s="28"/>
      <c r="AA147" s="28"/>
      <c r="AB147" s="28"/>
      <c r="AC147" s="28"/>
    </row>
    <row r="148" spans="1:29" s="25" customFormat="1" ht="14.45" customHeight="1" x14ac:dyDescent="0.25">
      <c r="A148" s="26">
        <v>245</v>
      </c>
      <c r="B148" s="26" t="s">
        <v>8</v>
      </c>
      <c r="C148" s="28">
        <v>5</v>
      </c>
      <c r="D148" s="26" t="s">
        <v>13</v>
      </c>
      <c r="E148" s="27">
        <v>46149</v>
      </c>
      <c r="F148" s="26" t="s">
        <v>902</v>
      </c>
      <c r="G148" s="7" t="s">
        <v>39</v>
      </c>
      <c r="H148" s="28" t="s">
        <v>945</v>
      </c>
      <c r="I148" s="28" t="s">
        <v>946</v>
      </c>
      <c r="J148" s="29">
        <v>23000</v>
      </c>
      <c r="K148" s="29">
        <v>25200</v>
      </c>
      <c r="L148" s="29">
        <v>22500</v>
      </c>
      <c r="M148" s="29">
        <v>2700</v>
      </c>
      <c r="N148" s="30">
        <f t="shared" si="4"/>
        <v>0.8928571428571429</v>
      </c>
      <c r="O148" s="27">
        <v>46113</v>
      </c>
      <c r="P148" s="28" t="s">
        <v>947</v>
      </c>
      <c r="Q148" s="28" t="s">
        <v>24</v>
      </c>
      <c r="R148" s="26" t="s">
        <v>26</v>
      </c>
      <c r="S148" s="28" t="s">
        <v>75</v>
      </c>
      <c r="T148" s="28" t="s">
        <v>17</v>
      </c>
      <c r="U148" s="28" t="s">
        <v>948</v>
      </c>
      <c r="V148" s="28" t="s">
        <v>949</v>
      </c>
      <c r="W148" s="28" t="s">
        <v>765</v>
      </c>
      <c r="X148" s="28" t="s">
        <v>889</v>
      </c>
      <c r="Y148" s="26" t="s">
        <v>122</v>
      </c>
      <c r="Z148" s="28"/>
      <c r="AA148" s="28"/>
      <c r="AB148" s="28"/>
      <c r="AC148" s="28"/>
    </row>
    <row r="149" spans="1:29" s="25" customFormat="1" ht="14.45" customHeight="1" x14ac:dyDescent="0.25">
      <c r="A149" s="26">
        <v>247</v>
      </c>
      <c r="B149" s="26" t="s">
        <v>8</v>
      </c>
      <c r="C149" s="28">
        <v>5</v>
      </c>
      <c r="D149" s="26" t="s">
        <v>13</v>
      </c>
      <c r="E149" s="27">
        <v>46150</v>
      </c>
      <c r="F149" s="26" t="s">
        <v>902</v>
      </c>
      <c r="G149" s="7" t="s">
        <v>39</v>
      </c>
      <c r="H149" s="28" t="s">
        <v>957</v>
      </c>
      <c r="I149" s="28" t="s">
        <v>830</v>
      </c>
      <c r="J149" s="29">
        <v>25000</v>
      </c>
      <c r="K149" s="29">
        <v>25200</v>
      </c>
      <c r="L149" s="29">
        <v>17100</v>
      </c>
      <c r="M149" s="29">
        <v>8100</v>
      </c>
      <c r="N149" s="30">
        <f t="shared" si="4"/>
        <v>0.6785714285714286</v>
      </c>
      <c r="O149" s="27">
        <v>46113</v>
      </c>
      <c r="P149" s="28" t="s">
        <v>958</v>
      </c>
      <c r="Q149" s="28" t="s">
        <v>14</v>
      </c>
      <c r="R149" s="26" t="s">
        <v>26</v>
      </c>
      <c r="S149" s="28" t="s">
        <v>75</v>
      </c>
      <c r="T149" s="28" t="s">
        <v>12</v>
      </c>
      <c r="U149" s="28" t="s">
        <v>83</v>
      </c>
      <c r="V149" s="28" t="s">
        <v>778</v>
      </c>
      <c r="W149" s="28" t="s">
        <v>813</v>
      </c>
      <c r="X149" s="28" t="s">
        <v>889</v>
      </c>
      <c r="Y149" s="26" t="s">
        <v>122</v>
      </c>
      <c r="Z149" s="28"/>
      <c r="AA149" s="28"/>
      <c r="AB149" s="28"/>
      <c r="AC149" s="28"/>
    </row>
    <row r="150" spans="1:29" s="25" customFormat="1" ht="14.45" customHeight="1" x14ac:dyDescent="0.25">
      <c r="A150" s="26">
        <v>231</v>
      </c>
      <c r="B150" s="26" t="s">
        <v>8</v>
      </c>
      <c r="C150" s="28">
        <v>5</v>
      </c>
      <c r="D150" s="26" t="s">
        <v>13</v>
      </c>
      <c r="E150" s="27">
        <v>46144</v>
      </c>
      <c r="F150" s="26" t="s">
        <v>883</v>
      </c>
      <c r="G150" s="7" t="s">
        <v>39</v>
      </c>
      <c r="H150" s="28" t="s">
        <v>884</v>
      </c>
      <c r="I150" s="28" t="s">
        <v>885</v>
      </c>
      <c r="J150" s="29">
        <v>51000</v>
      </c>
      <c r="K150" s="29">
        <v>19600</v>
      </c>
      <c r="L150" s="29">
        <v>17200</v>
      </c>
      <c r="M150" s="29">
        <v>2400</v>
      </c>
      <c r="N150" s="30">
        <f t="shared" si="4"/>
        <v>0.87755102040816324</v>
      </c>
      <c r="O150" s="27">
        <v>46113</v>
      </c>
      <c r="P150" s="28" t="s">
        <v>886</v>
      </c>
      <c r="Q150" s="28" t="s">
        <v>24</v>
      </c>
      <c r="R150" s="26" t="s">
        <v>26</v>
      </c>
      <c r="S150" s="28" t="s">
        <v>75</v>
      </c>
      <c r="T150" s="28" t="s">
        <v>17</v>
      </c>
      <c r="U150" s="28" t="s">
        <v>887</v>
      </c>
      <c r="V150" s="28" t="s">
        <v>888</v>
      </c>
      <c r="W150" s="28" t="s">
        <v>765</v>
      </c>
      <c r="X150" s="28" t="s">
        <v>889</v>
      </c>
      <c r="Y150" s="26" t="s">
        <v>122</v>
      </c>
      <c r="Z150" s="28"/>
      <c r="AA150" s="28"/>
      <c r="AB150" s="28"/>
      <c r="AC150" s="28"/>
    </row>
    <row r="151" spans="1:29" ht="14.45" customHeight="1" x14ac:dyDescent="0.25">
      <c r="A151" s="9">
        <v>238</v>
      </c>
      <c r="B151" s="9" t="s">
        <v>8</v>
      </c>
      <c r="C151" s="11">
        <v>5</v>
      </c>
      <c r="D151" s="9" t="s">
        <v>15</v>
      </c>
      <c r="E151" s="10">
        <v>46147</v>
      </c>
      <c r="F151" s="9" t="s">
        <v>918</v>
      </c>
      <c r="G151" s="11" t="s">
        <v>919</v>
      </c>
      <c r="H151" s="11" t="s">
        <v>920</v>
      </c>
      <c r="I151" s="11" t="s">
        <v>921</v>
      </c>
      <c r="J151" s="2">
        <v>0</v>
      </c>
      <c r="K151" s="2">
        <v>0</v>
      </c>
      <c r="L151" s="2">
        <v>0</v>
      </c>
      <c r="M151" s="2">
        <v>0</v>
      </c>
      <c r="N151" s="12" t="str">
        <f t="shared" si="4"/>
        <v/>
      </c>
      <c r="O151" s="10">
        <v>45860</v>
      </c>
      <c r="P151" s="11" t="s">
        <v>922</v>
      </c>
      <c r="Q151" s="11" t="s">
        <v>48</v>
      </c>
      <c r="R151" s="9" t="s">
        <v>29</v>
      </c>
      <c r="S151" s="11" t="s">
        <v>81</v>
      </c>
      <c r="T151" s="11" t="s">
        <v>36</v>
      </c>
      <c r="U151" s="11" t="s">
        <v>82</v>
      </c>
      <c r="V151" s="11" t="s">
        <v>779</v>
      </c>
      <c r="W151" s="11" t="s">
        <v>138</v>
      </c>
      <c r="X151" s="11"/>
      <c r="Y151" s="9" t="s">
        <v>122</v>
      </c>
      <c r="Z151" s="11"/>
      <c r="AA151" s="11"/>
      <c r="AB151" s="11"/>
      <c r="AC151" s="11"/>
    </row>
    <row r="152" spans="1:29" s="25" customFormat="1" ht="14.45" customHeight="1" x14ac:dyDescent="0.25">
      <c r="A152" s="26">
        <v>232</v>
      </c>
      <c r="B152" s="26" t="s">
        <v>8</v>
      </c>
      <c r="C152" s="28">
        <v>5</v>
      </c>
      <c r="D152" s="26" t="s">
        <v>13</v>
      </c>
      <c r="E152" s="27">
        <v>46146</v>
      </c>
      <c r="F152" s="26" t="s">
        <v>890</v>
      </c>
      <c r="G152" s="28" t="s">
        <v>891</v>
      </c>
      <c r="H152" s="28" t="s">
        <v>892</v>
      </c>
      <c r="I152" s="28" t="s">
        <v>893</v>
      </c>
      <c r="J152" s="29">
        <v>32500</v>
      </c>
      <c r="K152" s="29">
        <v>22100</v>
      </c>
      <c r="L152" s="29">
        <v>22000</v>
      </c>
      <c r="M152" s="29">
        <v>100</v>
      </c>
      <c r="N152" s="30">
        <f t="shared" si="4"/>
        <v>0.99547511312217196</v>
      </c>
      <c r="O152" s="27">
        <v>46119</v>
      </c>
      <c r="P152" s="28" t="s">
        <v>894</v>
      </c>
      <c r="Q152" s="28" t="s">
        <v>19</v>
      </c>
      <c r="R152" s="26" t="s">
        <v>23</v>
      </c>
      <c r="S152" s="28" t="s">
        <v>75</v>
      </c>
      <c r="T152" s="28" t="s">
        <v>12</v>
      </c>
      <c r="U152" s="28" t="s">
        <v>84</v>
      </c>
      <c r="V152" s="28" t="s">
        <v>782</v>
      </c>
      <c r="W152" s="28" t="s">
        <v>813</v>
      </c>
      <c r="X152" s="28" t="s">
        <v>889</v>
      </c>
      <c r="Y152" s="26" t="s">
        <v>122</v>
      </c>
      <c r="Z152" s="28"/>
      <c r="AA152" s="28"/>
      <c r="AB152" s="28"/>
      <c r="AC152" s="28"/>
    </row>
    <row r="153" spans="1:29" ht="14.45" customHeight="1" x14ac:dyDescent="0.25">
      <c r="A153" s="9">
        <v>240</v>
      </c>
      <c r="B153" s="9" t="s">
        <v>8</v>
      </c>
      <c r="C153" s="11">
        <v>5</v>
      </c>
      <c r="D153" s="9" t="s">
        <v>15</v>
      </c>
      <c r="E153" s="10">
        <v>46147</v>
      </c>
      <c r="F153" s="9" t="s">
        <v>925</v>
      </c>
      <c r="G153" s="11" t="s">
        <v>63</v>
      </c>
      <c r="H153" s="11" t="s">
        <v>926</v>
      </c>
      <c r="I153" s="11" t="s">
        <v>927</v>
      </c>
      <c r="J153" s="2">
        <v>120000</v>
      </c>
      <c r="K153" s="2">
        <v>7650</v>
      </c>
      <c r="L153" s="2">
        <v>0</v>
      </c>
      <c r="M153" s="2">
        <v>7650</v>
      </c>
      <c r="N153" s="12">
        <f t="shared" si="4"/>
        <v>0</v>
      </c>
      <c r="O153" s="10">
        <v>45947</v>
      </c>
      <c r="P153" s="11" t="s">
        <v>928</v>
      </c>
      <c r="Q153" s="11" t="s">
        <v>31</v>
      </c>
      <c r="R153" s="9" t="s">
        <v>23</v>
      </c>
      <c r="S153" s="11" t="s">
        <v>75</v>
      </c>
      <c r="T153" s="11" t="s">
        <v>1238</v>
      </c>
      <c r="U153" s="11" t="s">
        <v>929</v>
      </c>
      <c r="V153" s="11" t="s">
        <v>930</v>
      </c>
      <c r="W153" s="11" t="s">
        <v>133</v>
      </c>
      <c r="X153" s="11"/>
      <c r="Y153" s="9" t="s">
        <v>122</v>
      </c>
      <c r="Z153" s="11" t="s">
        <v>931</v>
      </c>
      <c r="AA153" s="11" t="s">
        <v>932</v>
      </c>
      <c r="AB153" s="11" t="s">
        <v>933</v>
      </c>
      <c r="AC153" s="11"/>
    </row>
    <row r="154" spans="1:29" s="25" customFormat="1" ht="14.45" customHeight="1" x14ac:dyDescent="0.25">
      <c r="A154" s="26">
        <v>239</v>
      </c>
      <c r="B154" s="26" t="s">
        <v>8</v>
      </c>
      <c r="C154" s="28">
        <v>5</v>
      </c>
      <c r="D154" s="26" t="s">
        <v>13</v>
      </c>
      <c r="E154" s="27">
        <v>46146</v>
      </c>
      <c r="F154" s="26" t="s">
        <v>890</v>
      </c>
      <c r="G154" s="28" t="s">
        <v>891</v>
      </c>
      <c r="H154" s="28" t="s">
        <v>923</v>
      </c>
      <c r="I154" s="28" t="s">
        <v>924</v>
      </c>
      <c r="J154" s="29">
        <v>26500</v>
      </c>
      <c r="K154" s="29">
        <v>13837</v>
      </c>
      <c r="L154" s="29">
        <v>13837</v>
      </c>
      <c r="M154" s="29">
        <v>0</v>
      </c>
      <c r="N154" s="30">
        <f t="shared" si="4"/>
        <v>1</v>
      </c>
      <c r="O154" s="27">
        <v>46119</v>
      </c>
      <c r="P154" s="28" t="s">
        <v>894</v>
      </c>
      <c r="Q154" s="28" t="s">
        <v>19</v>
      </c>
      <c r="R154" s="26" t="s">
        <v>23</v>
      </c>
      <c r="S154" s="28" t="s">
        <v>75</v>
      </c>
      <c r="T154" s="28" t="s">
        <v>12</v>
      </c>
      <c r="U154" s="28" t="s">
        <v>84</v>
      </c>
      <c r="V154" s="28" t="s">
        <v>782</v>
      </c>
      <c r="W154" s="28" t="s">
        <v>813</v>
      </c>
      <c r="X154" s="28" t="s">
        <v>889</v>
      </c>
      <c r="Y154" s="26" t="s">
        <v>122</v>
      </c>
      <c r="Z154" s="28"/>
      <c r="AA154" s="28"/>
      <c r="AB154" s="28"/>
      <c r="AC154" s="28"/>
    </row>
    <row r="155" spans="1:29" ht="14.45" customHeight="1" x14ac:dyDescent="0.25">
      <c r="A155" s="9">
        <v>242</v>
      </c>
      <c r="B155" s="9" t="s">
        <v>8</v>
      </c>
      <c r="C155" s="11">
        <v>5</v>
      </c>
      <c r="D155" s="9" t="s">
        <v>10</v>
      </c>
      <c r="E155" s="10">
        <v>46148</v>
      </c>
      <c r="F155" s="9" t="s">
        <v>937</v>
      </c>
      <c r="G155" s="11" t="s">
        <v>50</v>
      </c>
      <c r="H155" s="11" t="s">
        <v>938</v>
      </c>
      <c r="I155" s="11" t="s">
        <v>939</v>
      </c>
      <c r="J155" s="2">
        <v>25000</v>
      </c>
      <c r="K155" s="2">
        <v>3128</v>
      </c>
      <c r="L155" s="2">
        <v>0</v>
      </c>
      <c r="M155" s="2">
        <v>3128</v>
      </c>
      <c r="N155" s="12">
        <f t="shared" si="4"/>
        <v>0</v>
      </c>
      <c r="O155" s="10">
        <v>45700</v>
      </c>
      <c r="P155" s="11" t="s">
        <v>940</v>
      </c>
      <c r="Q155" s="11" t="s">
        <v>24</v>
      </c>
      <c r="R155" s="9" t="s">
        <v>26</v>
      </c>
      <c r="S155" s="11" t="s">
        <v>75</v>
      </c>
      <c r="T155" s="11" t="s">
        <v>17</v>
      </c>
      <c r="U155" s="11" t="s">
        <v>887</v>
      </c>
      <c r="V155" s="11" t="s">
        <v>888</v>
      </c>
      <c r="W155" s="11" t="s">
        <v>765</v>
      </c>
      <c r="X155" s="11"/>
      <c r="Y155" s="9" t="s">
        <v>122</v>
      </c>
      <c r="Z155" s="11"/>
      <c r="AA155" s="11"/>
      <c r="AB155" s="11"/>
      <c r="AC155" s="11"/>
    </row>
    <row r="156" spans="1:29" ht="14.45" customHeight="1" x14ac:dyDescent="0.25">
      <c r="A156" s="5">
        <v>243</v>
      </c>
      <c r="B156" s="5" t="s">
        <v>8</v>
      </c>
      <c r="C156" s="7">
        <v>5</v>
      </c>
      <c r="D156" s="5" t="s">
        <v>10</v>
      </c>
      <c r="E156" s="6">
        <v>46148</v>
      </c>
      <c r="F156" s="5" t="s">
        <v>818</v>
      </c>
      <c r="G156" s="7" t="s">
        <v>39</v>
      </c>
      <c r="H156" s="7" t="s">
        <v>941</v>
      </c>
      <c r="I156" s="7" t="s">
        <v>875</v>
      </c>
      <c r="J156" s="1">
        <v>10000</v>
      </c>
      <c r="K156" s="1">
        <v>1625</v>
      </c>
      <c r="L156" s="1">
        <v>0</v>
      </c>
      <c r="M156" s="1">
        <v>1625</v>
      </c>
      <c r="N156" s="8">
        <f t="shared" si="4"/>
        <v>0</v>
      </c>
      <c r="O156" s="6">
        <v>46097</v>
      </c>
      <c r="P156" s="7" t="s">
        <v>942</v>
      </c>
      <c r="Q156" s="7" t="s">
        <v>27</v>
      </c>
      <c r="R156" s="5" t="s">
        <v>26</v>
      </c>
      <c r="S156" s="7" t="s">
        <v>75</v>
      </c>
      <c r="T156" s="7" t="s">
        <v>25</v>
      </c>
      <c r="U156" s="7" t="s">
        <v>83</v>
      </c>
      <c r="V156" s="7" t="s">
        <v>799</v>
      </c>
      <c r="W156" s="7" t="s">
        <v>813</v>
      </c>
      <c r="X156" s="7" t="s">
        <v>943</v>
      </c>
      <c r="Y156" s="5" t="s">
        <v>122</v>
      </c>
      <c r="Z156" s="7"/>
      <c r="AA156" s="7"/>
      <c r="AB156" s="7"/>
      <c r="AC156" s="7"/>
    </row>
    <row r="157" spans="1:29" ht="14.45" customHeight="1" x14ac:dyDescent="0.25">
      <c r="A157" s="9">
        <v>244</v>
      </c>
      <c r="B157" s="9" t="s">
        <v>8</v>
      </c>
      <c r="C157" s="11">
        <v>5</v>
      </c>
      <c r="D157" s="9" t="s">
        <v>10</v>
      </c>
      <c r="E157" s="10">
        <v>46148</v>
      </c>
      <c r="F157" s="9" t="s">
        <v>159</v>
      </c>
      <c r="G157" s="7" t="s">
        <v>39</v>
      </c>
      <c r="H157" s="11" t="s">
        <v>944</v>
      </c>
      <c r="I157" s="11" t="s">
        <v>161</v>
      </c>
      <c r="J157" s="2">
        <v>6950</v>
      </c>
      <c r="K157" s="2">
        <v>10035</v>
      </c>
      <c r="L157" s="2">
        <v>0</v>
      </c>
      <c r="M157" s="2">
        <v>10035</v>
      </c>
      <c r="N157" s="12">
        <f t="shared" si="4"/>
        <v>0</v>
      </c>
      <c r="O157" s="10">
        <v>46080</v>
      </c>
      <c r="P157" s="11" t="s">
        <v>942</v>
      </c>
      <c r="Q157" s="11" t="s">
        <v>27</v>
      </c>
      <c r="R157" s="9" t="s">
        <v>26</v>
      </c>
      <c r="S157" s="11" t="s">
        <v>75</v>
      </c>
      <c r="T157" s="11" t="s">
        <v>25</v>
      </c>
      <c r="U157" s="11" t="s">
        <v>83</v>
      </c>
      <c r="V157" s="11" t="s">
        <v>778</v>
      </c>
      <c r="W157" s="11" t="s">
        <v>133</v>
      </c>
      <c r="X157" s="11" t="s">
        <v>943</v>
      </c>
      <c r="Y157" s="9" t="s">
        <v>122</v>
      </c>
      <c r="Z157" s="11"/>
      <c r="AA157" s="11"/>
      <c r="AB157" s="11"/>
      <c r="AC157" s="11"/>
    </row>
    <row r="158" spans="1:29" s="25" customFormat="1" ht="14.45" customHeight="1" x14ac:dyDescent="0.25">
      <c r="A158" s="26">
        <v>241</v>
      </c>
      <c r="B158" s="26" t="s">
        <v>8</v>
      </c>
      <c r="C158" s="28">
        <v>5</v>
      </c>
      <c r="D158" s="26" t="s">
        <v>13</v>
      </c>
      <c r="E158" s="27">
        <v>46146</v>
      </c>
      <c r="F158" s="26" t="s">
        <v>890</v>
      </c>
      <c r="G158" s="28" t="s">
        <v>891</v>
      </c>
      <c r="H158" s="28" t="s">
        <v>934</v>
      </c>
      <c r="I158" s="28" t="s">
        <v>935</v>
      </c>
      <c r="J158" s="29">
        <v>22300</v>
      </c>
      <c r="K158" s="29">
        <v>13500</v>
      </c>
      <c r="L158" s="29">
        <v>13500</v>
      </c>
      <c r="M158" s="29">
        <v>0</v>
      </c>
      <c r="N158" s="30">
        <f t="shared" si="4"/>
        <v>1</v>
      </c>
      <c r="O158" s="27">
        <v>46119</v>
      </c>
      <c r="P158" s="28" t="s">
        <v>936</v>
      </c>
      <c r="Q158" s="28" t="s">
        <v>19</v>
      </c>
      <c r="R158" s="26" t="s">
        <v>23</v>
      </c>
      <c r="S158" s="28" t="s">
        <v>75</v>
      </c>
      <c r="T158" s="28" t="s">
        <v>12</v>
      </c>
      <c r="U158" s="28" t="s">
        <v>84</v>
      </c>
      <c r="V158" s="28" t="s">
        <v>782</v>
      </c>
      <c r="W158" s="28" t="s">
        <v>813</v>
      </c>
      <c r="X158" s="28" t="s">
        <v>889</v>
      </c>
      <c r="Y158" s="26" t="s">
        <v>122</v>
      </c>
      <c r="Z158" s="28"/>
      <c r="AA158" s="28"/>
      <c r="AB158" s="28"/>
      <c r="AC158" s="28"/>
    </row>
    <row r="159" spans="1:29" ht="14.45" customHeight="1" x14ac:dyDescent="0.25">
      <c r="A159" s="9">
        <v>246</v>
      </c>
      <c r="B159" s="9" t="s">
        <v>8</v>
      </c>
      <c r="C159" s="11">
        <v>5</v>
      </c>
      <c r="D159" s="9" t="s">
        <v>10</v>
      </c>
      <c r="E159" s="10">
        <v>46149</v>
      </c>
      <c r="F159" s="9" t="s">
        <v>950</v>
      </c>
      <c r="G159" s="11" t="s">
        <v>951</v>
      </c>
      <c r="H159" s="11" t="s">
        <v>952</v>
      </c>
      <c r="I159" s="11" t="s">
        <v>953</v>
      </c>
      <c r="J159" s="2">
        <v>20160</v>
      </c>
      <c r="K159" s="2">
        <v>1800</v>
      </c>
      <c r="L159" s="2">
        <v>1800</v>
      </c>
      <c r="M159" s="2">
        <v>0</v>
      </c>
      <c r="N159" s="12">
        <f t="shared" si="4"/>
        <v>1</v>
      </c>
      <c r="O159" s="10">
        <v>46029</v>
      </c>
      <c r="P159" s="11" t="s">
        <v>954</v>
      </c>
      <c r="Q159" s="11" t="s">
        <v>24</v>
      </c>
      <c r="R159" s="9" t="s">
        <v>26</v>
      </c>
      <c r="S159" s="11" t="s">
        <v>75</v>
      </c>
      <c r="T159" s="11" t="s">
        <v>17</v>
      </c>
      <c r="U159" s="11" t="s">
        <v>948</v>
      </c>
      <c r="V159" s="11" t="s">
        <v>955</v>
      </c>
      <c r="W159" s="11" t="s">
        <v>765</v>
      </c>
      <c r="X159" s="11" t="s">
        <v>956</v>
      </c>
      <c r="Y159" s="9" t="s">
        <v>122</v>
      </c>
      <c r="Z159" s="11"/>
      <c r="AA159" s="11"/>
      <c r="AB159" s="11"/>
      <c r="AC159" s="11"/>
    </row>
    <row r="160" spans="1:29" s="25" customFormat="1" ht="14.45" customHeight="1" x14ac:dyDescent="0.25">
      <c r="A160" s="26">
        <v>236</v>
      </c>
      <c r="B160" s="26" t="s">
        <v>8</v>
      </c>
      <c r="C160" s="28">
        <v>5</v>
      </c>
      <c r="D160" s="26" t="s">
        <v>13</v>
      </c>
      <c r="E160" s="27">
        <v>46147</v>
      </c>
      <c r="F160" s="26" t="s">
        <v>910</v>
      </c>
      <c r="G160" s="11" t="s">
        <v>42</v>
      </c>
      <c r="H160" s="28" t="s">
        <v>911</v>
      </c>
      <c r="I160" s="28" t="s">
        <v>912</v>
      </c>
      <c r="J160" s="29">
        <v>10000</v>
      </c>
      <c r="K160" s="29">
        <v>8700</v>
      </c>
      <c r="L160" s="29">
        <v>8100</v>
      </c>
      <c r="M160" s="29">
        <v>600</v>
      </c>
      <c r="N160" s="30">
        <f t="shared" si="4"/>
        <v>0.93103448275862066</v>
      </c>
      <c r="O160" s="27">
        <v>46120</v>
      </c>
      <c r="P160" s="28" t="s">
        <v>913</v>
      </c>
      <c r="Q160" s="28" t="s">
        <v>24</v>
      </c>
      <c r="R160" s="26" t="s">
        <v>26</v>
      </c>
      <c r="S160" s="28" t="s">
        <v>75</v>
      </c>
      <c r="T160" s="28" t="s">
        <v>17</v>
      </c>
      <c r="U160" s="28" t="s">
        <v>914</v>
      </c>
      <c r="V160" s="28" t="s">
        <v>872</v>
      </c>
      <c r="W160" s="28" t="s">
        <v>765</v>
      </c>
      <c r="X160" s="28" t="s">
        <v>889</v>
      </c>
      <c r="Y160" s="26" t="s">
        <v>122</v>
      </c>
      <c r="Z160" s="28"/>
      <c r="AA160" s="28"/>
      <c r="AB160" s="28"/>
      <c r="AC160" s="28"/>
    </row>
    <row r="161" spans="1:29" ht="14.45" customHeight="1" x14ac:dyDescent="0.25">
      <c r="A161" s="9">
        <v>248</v>
      </c>
      <c r="B161" s="9" t="s">
        <v>8</v>
      </c>
      <c r="C161" s="11">
        <v>5</v>
      </c>
      <c r="D161" s="9" t="s">
        <v>15</v>
      </c>
      <c r="E161" s="10">
        <v>46150</v>
      </c>
      <c r="F161" s="9"/>
      <c r="G161" s="22" t="s">
        <v>1221</v>
      </c>
      <c r="H161" s="11"/>
      <c r="I161" s="11"/>
      <c r="J161" s="2"/>
      <c r="K161" s="2"/>
      <c r="L161" s="2"/>
      <c r="M161" s="2">
        <v>0</v>
      </c>
      <c r="N161" s="12" t="str">
        <f t="shared" si="4"/>
        <v/>
      </c>
      <c r="O161" s="10">
        <v>46150</v>
      </c>
      <c r="P161" s="11" t="s">
        <v>959</v>
      </c>
      <c r="Q161" s="11" t="s">
        <v>62</v>
      </c>
      <c r="R161" s="9" t="s">
        <v>23</v>
      </c>
      <c r="S161" s="11" t="s">
        <v>11</v>
      </c>
      <c r="T161" s="11" t="s">
        <v>1238</v>
      </c>
      <c r="U161" s="11" t="s">
        <v>82</v>
      </c>
      <c r="V161" s="11"/>
      <c r="W161" s="11"/>
      <c r="X161" s="11"/>
      <c r="Y161" s="9" t="s">
        <v>122</v>
      </c>
      <c r="Z161" s="11"/>
      <c r="AA161" s="11"/>
      <c r="AB161" s="11"/>
      <c r="AC161" s="11"/>
    </row>
    <row r="162" spans="1:29" s="25" customFormat="1" ht="14.45" customHeight="1" x14ac:dyDescent="0.25">
      <c r="A162" s="20">
        <v>237</v>
      </c>
      <c r="B162" s="20" t="s">
        <v>8</v>
      </c>
      <c r="C162" s="22">
        <v>5</v>
      </c>
      <c r="D162" s="20" t="s">
        <v>13</v>
      </c>
      <c r="E162" s="21">
        <v>46148</v>
      </c>
      <c r="F162" s="20" t="s">
        <v>910</v>
      </c>
      <c r="G162" s="11" t="s">
        <v>42</v>
      </c>
      <c r="H162" s="22" t="s">
        <v>915</v>
      </c>
      <c r="I162" s="22" t="s">
        <v>916</v>
      </c>
      <c r="J162" s="23">
        <v>8000</v>
      </c>
      <c r="K162" s="23">
        <v>9000</v>
      </c>
      <c r="L162" s="23">
        <v>7180</v>
      </c>
      <c r="M162" s="23">
        <v>1820</v>
      </c>
      <c r="N162" s="24">
        <f t="shared" si="4"/>
        <v>0.79777777777777781</v>
      </c>
      <c r="O162" s="27">
        <v>46120</v>
      </c>
      <c r="P162" s="22" t="s">
        <v>917</v>
      </c>
      <c r="Q162" s="22" t="s">
        <v>18</v>
      </c>
      <c r="R162" s="20" t="s">
        <v>23</v>
      </c>
      <c r="S162" s="22" t="s">
        <v>75</v>
      </c>
      <c r="T162" s="28" t="s">
        <v>22</v>
      </c>
      <c r="U162" s="22" t="s">
        <v>734</v>
      </c>
      <c r="V162" s="22" t="s">
        <v>806</v>
      </c>
      <c r="W162" s="22" t="s">
        <v>715</v>
      </c>
      <c r="X162" s="22" t="s">
        <v>889</v>
      </c>
      <c r="Y162" s="20" t="s">
        <v>122</v>
      </c>
      <c r="Z162" s="22"/>
      <c r="AA162" s="22"/>
      <c r="AB162" s="22"/>
      <c r="AC162" s="22"/>
    </row>
    <row r="163" spans="1:29" s="25" customFormat="1" ht="14.45" customHeight="1" x14ac:dyDescent="0.25">
      <c r="A163" s="26">
        <v>250</v>
      </c>
      <c r="B163" s="26" t="s">
        <v>8</v>
      </c>
      <c r="C163" s="28">
        <v>5</v>
      </c>
      <c r="D163" s="26" t="s">
        <v>13</v>
      </c>
      <c r="E163" s="27">
        <v>46170</v>
      </c>
      <c r="F163" s="26" t="s">
        <v>964</v>
      </c>
      <c r="G163" s="28" t="s">
        <v>45</v>
      </c>
      <c r="H163" s="28" t="s">
        <v>965</v>
      </c>
      <c r="I163" s="28" t="s">
        <v>966</v>
      </c>
      <c r="J163" s="29">
        <v>3000</v>
      </c>
      <c r="K163" s="29">
        <v>3150</v>
      </c>
      <c r="L163" s="29">
        <v>2800</v>
      </c>
      <c r="M163" s="29">
        <v>350</v>
      </c>
      <c r="N163" s="30">
        <f t="shared" ref="N163:N194" si="5">IFERROR(L163/K163,"")</f>
        <v>0.88888888888888884</v>
      </c>
      <c r="O163" s="27">
        <v>46126</v>
      </c>
      <c r="P163" s="28" t="s">
        <v>967</v>
      </c>
      <c r="Q163" s="28" t="s">
        <v>31</v>
      </c>
      <c r="R163" s="26" t="s">
        <v>23</v>
      </c>
      <c r="S163" s="28" t="s">
        <v>11</v>
      </c>
      <c r="T163" s="28" t="s">
        <v>12</v>
      </c>
      <c r="U163" s="28" t="s">
        <v>82</v>
      </c>
      <c r="V163" s="28"/>
      <c r="W163" s="28"/>
      <c r="X163" s="28" t="s">
        <v>866</v>
      </c>
      <c r="Y163" s="26" t="s">
        <v>122</v>
      </c>
      <c r="Z163" s="28"/>
      <c r="AA163" s="28"/>
      <c r="AB163" s="28"/>
      <c r="AC163" s="28"/>
    </row>
    <row r="164" spans="1:29" s="25" customFormat="1" ht="14.45" customHeight="1" x14ac:dyDescent="0.25">
      <c r="A164" s="26">
        <v>266</v>
      </c>
      <c r="B164" s="26" t="s">
        <v>8</v>
      </c>
      <c r="C164" s="28">
        <v>5</v>
      </c>
      <c r="D164" s="26" t="s">
        <v>13</v>
      </c>
      <c r="E164" s="27">
        <v>46170</v>
      </c>
      <c r="F164" s="26" t="s">
        <v>1016</v>
      </c>
      <c r="G164" s="11" t="s">
        <v>42</v>
      </c>
      <c r="H164" s="28" t="s">
        <v>1017</v>
      </c>
      <c r="I164" s="28" t="s">
        <v>1018</v>
      </c>
      <c r="J164" s="29">
        <v>24000</v>
      </c>
      <c r="K164" s="29">
        <v>7175</v>
      </c>
      <c r="L164" s="29">
        <v>6791</v>
      </c>
      <c r="M164" s="29">
        <v>384</v>
      </c>
      <c r="N164" s="30">
        <f t="shared" si="5"/>
        <v>0.9464808362369338</v>
      </c>
      <c r="O164" s="27">
        <v>46126</v>
      </c>
      <c r="P164" s="28" t="s">
        <v>1019</v>
      </c>
      <c r="Q164" s="28" t="s">
        <v>55</v>
      </c>
      <c r="R164" s="26" t="s">
        <v>23</v>
      </c>
      <c r="S164" s="28" t="s">
        <v>11</v>
      </c>
      <c r="T164" s="28" t="s">
        <v>22</v>
      </c>
      <c r="U164" s="28" t="s">
        <v>82</v>
      </c>
      <c r="V164" s="28"/>
      <c r="W164" s="28"/>
      <c r="X164" s="28" t="s">
        <v>866</v>
      </c>
      <c r="Y164" s="26" t="s">
        <v>122</v>
      </c>
      <c r="Z164" s="28"/>
      <c r="AA164" s="28"/>
      <c r="AB164" s="28"/>
      <c r="AC164" s="28"/>
    </row>
    <row r="165" spans="1:29" ht="14.45" customHeight="1" x14ac:dyDescent="0.25">
      <c r="A165" s="9">
        <v>252</v>
      </c>
      <c r="B165" s="9" t="s">
        <v>8</v>
      </c>
      <c r="C165" s="11">
        <v>5</v>
      </c>
      <c r="D165" s="9" t="s">
        <v>10</v>
      </c>
      <c r="E165" s="10">
        <v>46156</v>
      </c>
      <c r="F165" s="9" t="s">
        <v>895</v>
      </c>
      <c r="G165" s="11" t="s">
        <v>66</v>
      </c>
      <c r="H165" s="11" t="s">
        <v>896</v>
      </c>
      <c r="I165" s="11" t="s">
        <v>897</v>
      </c>
      <c r="J165" s="2">
        <v>4600</v>
      </c>
      <c r="K165" s="2">
        <v>4200</v>
      </c>
      <c r="L165" s="2">
        <v>3850</v>
      </c>
      <c r="M165" s="2">
        <v>350</v>
      </c>
      <c r="N165" s="12">
        <f t="shared" si="5"/>
        <v>0.91666666666666663</v>
      </c>
      <c r="O165" s="10">
        <v>46118</v>
      </c>
      <c r="P165" s="11" t="s">
        <v>972</v>
      </c>
      <c r="Q165" s="11" t="s">
        <v>18</v>
      </c>
      <c r="R165" s="9" t="s">
        <v>23</v>
      </c>
      <c r="S165" s="11" t="s">
        <v>11</v>
      </c>
      <c r="T165" s="11" t="s">
        <v>22</v>
      </c>
      <c r="U165" s="11" t="s">
        <v>82</v>
      </c>
      <c r="V165" s="11"/>
      <c r="W165" s="11"/>
      <c r="X165" s="11" t="s">
        <v>973</v>
      </c>
      <c r="Y165" s="9" t="s">
        <v>122</v>
      </c>
      <c r="Z165" s="11"/>
      <c r="AA165" s="11"/>
      <c r="AB165" s="11"/>
      <c r="AC165" s="11"/>
    </row>
    <row r="166" spans="1:29" ht="14.45" customHeight="1" x14ac:dyDescent="0.25">
      <c r="A166" s="5">
        <v>253</v>
      </c>
      <c r="B166" s="5" t="s">
        <v>8</v>
      </c>
      <c r="C166" s="7">
        <v>5</v>
      </c>
      <c r="D166" s="5" t="s">
        <v>10</v>
      </c>
      <c r="E166" s="6">
        <v>46156</v>
      </c>
      <c r="F166" s="5" t="s">
        <v>974</v>
      </c>
      <c r="G166" s="7" t="s">
        <v>61</v>
      </c>
      <c r="H166" s="7" t="s">
        <v>975</v>
      </c>
      <c r="I166" s="7" t="s">
        <v>976</v>
      </c>
      <c r="J166" s="1">
        <v>161300</v>
      </c>
      <c r="K166" s="1">
        <v>882</v>
      </c>
      <c r="L166" s="1">
        <v>0</v>
      </c>
      <c r="M166" s="1">
        <v>882</v>
      </c>
      <c r="N166" s="8">
        <f t="shared" si="5"/>
        <v>0</v>
      </c>
      <c r="O166" s="6">
        <v>45932</v>
      </c>
      <c r="P166" s="7" t="s">
        <v>977</v>
      </c>
      <c r="Q166" s="7" t="s">
        <v>33</v>
      </c>
      <c r="R166" s="5" t="s">
        <v>23</v>
      </c>
      <c r="S166" s="7" t="s">
        <v>11</v>
      </c>
      <c r="T166" s="11" t="s">
        <v>25</v>
      </c>
      <c r="U166" s="7" t="s">
        <v>82</v>
      </c>
      <c r="V166" s="7"/>
      <c r="W166" s="7"/>
      <c r="X166" s="7" t="s">
        <v>978</v>
      </c>
      <c r="Y166" s="5" t="s">
        <v>122</v>
      </c>
      <c r="Z166" s="7"/>
      <c r="AA166" s="7"/>
      <c r="AB166" s="7"/>
      <c r="AC166" s="7"/>
    </row>
    <row r="167" spans="1:29" s="25" customFormat="1" ht="14.45" customHeight="1" x14ac:dyDescent="0.25">
      <c r="A167" s="26">
        <v>258</v>
      </c>
      <c r="B167" s="26" t="s">
        <v>8</v>
      </c>
      <c r="C167" s="28">
        <v>5</v>
      </c>
      <c r="D167" s="26" t="s">
        <v>13</v>
      </c>
      <c r="E167" s="27">
        <v>46167</v>
      </c>
      <c r="F167" s="26" t="s">
        <v>991</v>
      </c>
      <c r="G167" s="11" t="s">
        <v>42</v>
      </c>
      <c r="H167" s="28" t="s">
        <v>992</v>
      </c>
      <c r="I167" s="28" t="s">
        <v>993</v>
      </c>
      <c r="J167" s="29">
        <v>75000</v>
      </c>
      <c r="K167" s="29">
        <v>54000</v>
      </c>
      <c r="L167" s="29">
        <v>54000</v>
      </c>
      <c r="M167" s="29">
        <v>0</v>
      </c>
      <c r="N167" s="30">
        <f t="shared" si="5"/>
        <v>1</v>
      </c>
      <c r="O167" s="27">
        <v>46127</v>
      </c>
      <c r="P167" s="28" t="s">
        <v>994</v>
      </c>
      <c r="Q167" s="28" t="s">
        <v>35</v>
      </c>
      <c r="R167" s="26" t="s">
        <v>23</v>
      </c>
      <c r="S167" s="28" t="s">
        <v>11</v>
      </c>
      <c r="T167" s="28" t="s">
        <v>12</v>
      </c>
      <c r="U167" s="28" t="s">
        <v>82</v>
      </c>
      <c r="V167" s="28"/>
      <c r="W167" s="28"/>
      <c r="X167" s="28" t="s">
        <v>866</v>
      </c>
      <c r="Y167" s="26" t="s">
        <v>122</v>
      </c>
      <c r="Z167" s="28"/>
      <c r="AA167" s="28"/>
      <c r="AB167" s="28"/>
      <c r="AC167" s="28"/>
    </row>
    <row r="168" spans="1:29" s="25" customFormat="1" ht="14.45" customHeight="1" x14ac:dyDescent="0.25">
      <c r="A168" s="20">
        <v>251</v>
      </c>
      <c r="B168" s="20" t="s">
        <v>8</v>
      </c>
      <c r="C168" s="22">
        <v>5</v>
      </c>
      <c r="D168" s="20" t="s">
        <v>13</v>
      </c>
      <c r="E168" s="21">
        <v>46155</v>
      </c>
      <c r="F168" s="20" t="s">
        <v>968</v>
      </c>
      <c r="G168" s="22" t="s">
        <v>59</v>
      </c>
      <c r="H168" s="22" t="s">
        <v>969</v>
      </c>
      <c r="I168" s="22" t="s">
        <v>970</v>
      </c>
      <c r="J168" s="23">
        <v>1300</v>
      </c>
      <c r="K168" s="23">
        <v>1800</v>
      </c>
      <c r="L168" s="23">
        <v>0</v>
      </c>
      <c r="M168" s="23">
        <v>1800</v>
      </c>
      <c r="N168" s="24">
        <f t="shared" si="5"/>
        <v>0</v>
      </c>
      <c r="O168" s="21">
        <v>46133</v>
      </c>
      <c r="P168" s="22" t="s">
        <v>971</v>
      </c>
      <c r="Q168" s="22" t="s">
        <v>24</v>
      </c>
      <c r="R168" s="20" t="s">
        <v>26</v>
      </c>
      <c r="S168" s="22" t="s">
        <v>11</v>
      </c>
      <c r="T168" s="22" t="s">
        <v>17</v>
      </c>
      <c r="U168" s="22" t="s">
        <v>82</v>
      </c>
      <c r="V168" s="22"/>
      <c r="W168" s="22"/>
      <c r="X168" s="22" t="s">
        <v>866</v>
      </c>
      <c r="Y168" s="20" t="s">
        <v>122</v>
      </c>
      <c r="Z168" s="22"/>
      <c r="AA168" s="22"/>
      <c r="AB168" s="22"/>
      <c r="AC168" s="22"/>
    </row>
    <row r="169" spans="1:29" s="25" customFormat="1" ht="14.45" customHeight="1" x14ac:dyDescent="0.25">
      <c r="A169" s="26">
        <v>254</v>
      </c>
      <c r="B169" s="26" t="s">
        <v>8</v>
      </c>
      <c r="C169" s="28">
        <v>5</v>
      </c>
      <c r="D169" s="26" t="s">
        <v>13</v>
      </c>
      <c r="E169" s="27">
        <v>46157</v>
      </c>
      <c r="F169" s="26" t="s">
        <v>968</v>
      </c>
      <c r="G169" s="28" t="s">
        <v>59</v>
      </c>
      <c r="H169" s="28" t="s">
        <v>979</v>
      </c>
      <c r="I169" s="28" t="s">
        <v>980</v>
      </c>
      <c r="J169" s="29">
        <v>3500</v>
      </c>
      <c r="K169" s="29">
        <v>5400</v>
      </c>
      <c r="L169" s="29">
        <v>3600</v>
      </c>
      <c r="M169" s="29">
        <v>1800</v>
      </c>
      <c r="N169" s="30">
        <f t="shared" si="5"/>
        <v>0.66666666666666663</v>
      </c>
      <c r="O169" s="27">
        <v>46133</v>
      </c>
      <c r="P169" s="28" t="s">
        <v>981</v>
      </c>
      <c r="Q169" s="28" t="s">
        <v>19</v>
      </c>
      <c r="R169" s="26" t="s">
        <v>23</v>
      </c>
      <c r="S169" s="28" t="s">
        <v>11</v>
      </c>
      <c r="T169" s="22" t="s">
        <v>74</v>
      </c>
      <c r="U169" s="28" t="s">
        <v>82</v>
      </c>
      <c r="V169" s="28"/>
      <c r="W169" s="28"/>
      <c r="X169" s="28" t="s">
        <v>866</v>
      </c>
      <c r="Y169" s="26" t="s">
        <v>122</v>
      </c>
      <c r="Z169" s="28"/>
      <c r="AA169" s="28"/>
      <c r="AB169" s="28"/>
      <c r="AC169" s="28"/>
    </row>
    <row r="170" spans="1:29" ht="14.45" customHeight="1" x14ac:dyDescent="0.25">
      <c r="A170" s="5">
        <v>257</v>
      </c>
      <c r="B170" s="5" t="s">
        <v>8</v>
      </c>
      <c r="C170" s="7">
        <v>5</v>
      </c>
      <c r="D170" s="5" t="s">
        <v>10</v>
      </c>
      <c r="E170" s="6">
        <v>46157</v>
      </c>
      <c r="F170" s="5" t="s">
        <v>354</v>
      </c>
      <c r="G170" s="7" t="s">
        <v>47</v>
      </c>
      <c r="H170" s="7" t="s">
        <v>355</v>
      </c>
      <c r="I170" s="7" t="s">
        <v>356</v>
      </c>
      <c r="J170" s="1">
        <v>320000</v>
      </c>
      <c r="K170" s="1">
        <v>1000</v>
      </c>
      <c r="L170" s="1"/>
      <c r="M170" s="1">
        <v>1000</v>
      </c>
      <c r="N170" s="8">
        <f t="shared" si="5"/>
        <v>0</v>
      </c>
      <c r="O170" s="6">
        <v>46024</v>
      </c>
      <c r="P170" s="7" t="s">
        <v>990</v>
      </c>
      <c r="Q170" s="7" t="s">
        <v>53</v>
      </c>
      <c r="R170" s="5" t="s">
        <v>29</v>
      </c>
      <c r="S170" s="7" t="s">
        <v>11</v>
      </c>
      <c r="T170" s="11" t="s">
        <v>22</v>
      </c>
      <c r="U170" s="7" t="s">
        <v>82</v>
      </c>
      <c r="V170" s="7"/>
      <c r="W170" s="7"/>
      <c r="X170" s="7" t="s">
        <v>866</v>
      </c>
      <c r="Y170" s="5" t="s">
        <v>122</v>
      </c>
      <c r="Z170" s="7"/>
      <c r="AA170" s="7"/>
      <c r="AB170" s="7"/>
      <c r="AC170" s="7"/>
    </row>
    <row r="171" spans="1:29" s="25" customFormat="1" ht="14.45" customHeight="1" x14ac:dyDescent="0.25">
      <c r="A171" s="26">
        <v>268</v>
      </c>
      <c r="B171" s="26" t="s">
        <v>8</v>
      </c>
      <c r="C171" s="28">
        <v>5</v>
      </c>
      <c r="D171" s="26" t="s">
        <v>13</v>
      </c>
      <c r="E171" s="27">
        <v>46171</v>
      </c>
      <c r="F171" s="26" t="s">
        <v>1024</v>
      </c>
      <c r="G171" s="11" t="s">
        <v>42</v>
      </c>
      <c r="H171" s="28" t="s">
        <v>1025</v>
      </c>
      <c r="I171" s="28" t="s">
        <v>1026</v>
      </c>
      <c r="J171" s="29">
        <v>13400</v>
      </c>
      <c r="K171" s="29">
        <v>4000</v>
      </c>
      <c r="L171" s="29">
        <v>3376</v>
      </c>
      <c r="M171" s="29">
        <v>624</v>
      </c>
      <c r="N171" s="30">
        <f t="shared" si="5"/>
        <v>0.84399999999999997</v>
      </c>
      <c r="O171" s="27">
        <v>46134</v>
      </c>
      <c r="P171" s="28" t="s">
        <v>1027</v>
      </c>
      <c r="Q171" s="28" t="s">
        <v>24</v>
      </c>
      <c r="R171" s="26" t="s">
        <v>26</v>
      </c>
      <c r="S171" s="28" t="s">
        <v>11</v>
      </c>
      <c r="T171" s="28" t="s">
        <v>17</v>
      </c>
      <c r="U171" s="28" t="s">
        <v>82</v>
      </c>
      <c r="V171" s="28"/>
      <c r="W171" s="28"/>
      <c r="X171" s="28" t="s">
        <v>866</v>
      </c>
      <c r="Y171" s="26" t="s">
        <v>122</v>
      </c>
      <c r="Z171" s="28"/>
      <c r="AA171" s="28"/>
      <c r="AB171" s="28"/>
      <c r="AC171" s="28"/>
    </row>
    <row r="172" spans="1:29" s="25" customFormat="1" ht="14.45" customHeight="1" x14ac:dyDescent="0.25">
      <c r="A172" s="20">
        <v>267</v>
      </c>
      <c r="B172" s="20" t="s">
        <v>8</v>
      </c>
      <c r="C172" s="22">
        <v>5</v>
      </c>
      <c r="D172" s="20" t="s">
        <v>13</v>
      </c>
      <c r="E172" s="21">
        <v>46170</v>
      </c>
      <c r="F172" s="20">
        <v>3844</v>
      </c>
      <c r="G172" s="22" t="s">
        <v>1020</v>
      </c>
      <c r="H172" s="22" t="s">
        <v>1021</v>
      </c>
      <c r="I172" s="22" t="s">
        <v>1022</v>
      </c>
      <c r="J172" s="23">
        <v>150000</v>
      </c>
      <c r="K172" s="23">
        <v>22500</v>
      </c>
      <c r="L172" s="23">
        <v>22500</v>
      </c>
      <c r="M172" s="23">
        <v>0</v>
      </c>
      <c r="N172" s="24">
        <f t="shared" si="5"/>
        <v>1</v>
      </c>
      <c r="O172" s="21">
        <v>46153</v>
      </c>
      <c r="P172" s="22" t="s">
        <v>1023</v>
      </c>
      <c r="Q172" s="22" t="s">
        <v>18</v>
      </c>
      <c r="R172" s="20" t="s">
        <v>23</v>
      </c>
      <c r="S172" s="22" t="s">
        <v>11</v>
      </c>
      <c r="T172" s="22" t="s">
        <v>22</v>
      </c>
      <c r="U172" s="22" t="s">
        <v>82</v>
      </c>
      <c r="V172" s="22"/>
      <c r="W172" s="22"/>
      <c r="X172" s="22" t="s">
        <v>866</v>
      </c>
      <c r="Y172" s="20" t="s">
        <v>122</v>
      </c>
      <c r="Z172" s="22"/>
      <c r="AA172" s="22"/>
      <c r="AB172" s="22"/>
      <c r="AC172" s="22"/>
    </row>
    <row r="173" spans="1:29" s="25" customFormat="1" ht="14.45" customHeight="1" x14ac:dyDescent="0.25">
      <c r="A173" s="20">
        <v>249</v>
      </c>
      <c r="B173" s="20" t="s">
        <v>8</v>
      </c>
      <c r="C173" s="22">
        <v>5</v>
      </c>
      <c r="D173" s="20" t="s">
        <v>13</v>
      </c>
      <c r="E173" s="21">
        <v>46154</v>
      </c>
      <c r="F173" s="20" t="s">
        <v>960</v>
      </c>
      <c r="G173" s="22" t="s">
        <v>61</v>
      </c>
      <c r="H173" s="22" t="s">
        <v>961</v>
      </c>
      <c r="I173" s="22" t="s">
        <v>962</v>
      </c>
      <c r="J173" s="23">
        <v>3550</v>
      </c>
      <c r="K173" s="23">
        <v>4000</v>
      </c>
      <c r="L173" s="23">
        <v>2925</v>
      </c>
      <c r="M173" s="23">
        <v>1075</v>
      </c>
      <c r="N173" s="24">
        <f t="shared" si="5"/>
        <v>0.73124999999999996</v>
      </c>
      <c r="O173" s="21">
        <v>46135</v>
      </c>
      <c r="P173" s="22" t="s">
        <v>963</v>
      </c>
      <c r="Q173" s="22" t="s">
        <v>18</v>
      </c>
      <c r="R173" s="20" t="s">
        <v>23</v>
      </c>
      <c r="S173" s="22" t="s">
        <v>11</v>
      </c>
      <c r="T173" s="11" t="s">
        <v>25</v>
      </c>
      <c r="U173" s="22" t="s">
        <v>82</v>
      </c>
      <c r="V173" s="22"/>
      <c r="W173" s="22"/>
      <c r="X173" s="22" t="s">
        <v>866</v>
      </c>
      <c r="Y173" s="20" t="s">
        <v>122</v>
      </c>
      <c r="Z173" s="22"/>
      <c r="AA173" s="22"/>
      <c r="AB173" s="22"/>
      <c r="AC173" s="22"/>
    </row>
    <row r="174" spans="1:29" s="25" customFormat="1" ht="14.45" customHeight="1" x14ac:dyDescent="0.25">
      <c r="A174" s="20">
        <v>259</v>
      </c>
      <c r="B174" s="20" t="s">
        <v>8</v>
      </c>
      <c r="C174" s="22">
        <v>5</v>
      </c>
      <c r="D174" s="20" t="s">
        <v>13</v>
      </c>
      <c r="E174" s="21">
        <v>46167</v>
      </c>
      <c r="F174" s="20" t="s">
        <v>995</v>
      </c>
      <c r="G174" s="11" t="s">
        <v>42</v>
      </c>
      <c r="H174" s="22" t="s">
        <v>712</v>
      </c>
      <c r="I174" s="22" t="s">
        <v>996</v>
      </c>
      <c r="J174" s="23">
        <v>7200</v>
      </c>
      <c r="K174" s="23">
        <v>7200</v>
      </c>
      <c r="L174" s="23">
        <v>4943</v>
      </c>
      <c r="M174" s="23">
        <v>2257</v>
      </c>
      <c r="N174" s="24">
        <f t="shared" si="5"/>
        <v>0.68652777777777774</v>
      </c>
      <c r="O174" s="21">
        <v>46139</v>
      </c>
      <c r="P174" s="22" t="s">
        <v>997</v>
      </c>
      <c r="Q174" s="22" t="s">
        <v>18</v>
      </c>
      <c r="R174" s="20" t="s">
        <v>23</v>
      </c>
      <c r="S174" s="22" t="s">
        <v>11</v>
      </c>
      <c r="T174" s="22" t="s">
        <v>22</v>
      </c>
      <c r="U174" s="22" t="s">
        <v>82</v>
      </c>
      <c r="V174" s="22"/>
      <c r="W174" s="22"/>
      <c r="X174" s="22" t="s">
        <v>866</v>
      </c>
      <c r="Y174" s="20" t="s">
        <v>122</v>
      </c>
      <c r="Z174" s="22"/>
      <c r="AA174" s="22"/>
      <c r="AB174" s="22"/>
      <c r="AC174" s="22"/>
    </row>
    <row r="175" spans="1:29" ht="14.45" customHeight="1" x14ac:dyDescent="0.25">
      <c r="A175" s="5">
        <v>262</v>
      </c>
      <c r="B175" s="5" t="s">
        <v>8</v>
      </c>
      <c r="C175" s="7">
        <v>5</v>
      </c>
      <c r="D175" s="5" t="s">
        <v>10</v>
      </c>
      <c r="E175" s="6">
        <v>46168</v>
      </c>
      <c r="F175" s="5" t="s">
        <v>880</v>
      </c>
      <c r="G175" s="7" t="s">
        <v>39</v>
      </c>
      <c r="H175" s="7" t="s">
        <v>1005</v>
      </c>
      <c r="I175" s="7" t="s">
        <v>1006</v>
      </c>
      <c r="J175" s="1">
        <v>220000</v>
      </c>
      <c r="K175" s="1">
        <v>215200</v>
      </c>
      <c r="L175" s="1">
        <v>215200</v>
      </c>
      <c r="M175" s="1">
        <v>200</v>
      </c>
      <c r="N175" s="8">
        <f t="shared" si="5"/>
        <v>1</v>
      </c>
      <c r="O175" s="6">
        <v>46090</v>
      </c>
      <c r="P175" s="7" t="s">
        <v>848</v>
      </c>
      <c r="Q175" s="7" t="s">
        <v>14</v>
      </c>
      <c r="R175" s="5" t="s">
        <v>26</v>
      </c>
      <c r="S175" s="7" t="s">
        <v>11</v>
      </c>
      <c r="T175" s="7" t="s">
        <v>12</v>
      </c>
      <c r="U175" s="7" t="s">
        <v>82</v>
      </c>
      <c r="V175" s="7"/>
      <c r="W175" s="7"/>
      <c r="X175" s="7" t="s">
        <v>866</v>
      </c>
      <c r="Y175" s="5" t="s">
        <v>122</v>
      </c>
      <c r="Z175" s="7"/>
      <c r="AA175" s="7"/>
      <c r="AB175" s="7"/>
      <c r="AC175" s="7"/>
    </row>
    <row r="176" spans="1:29" s="25" customFormat="1" ht="14.45" customHeight="1" x14ac:dyDescent="0.25">
      <c r="A176" s="20">
        <v>255</v>
      </c>
      <c r="B176" s="20" t="s">
        <v>8</v>
      </c>
      <c r="C176" s="22">
        <v>5</v>
      </c>
      <c r="D176" s="20" t="s">
        <v>13</v>
      </c>
      <c r="E176" s="21">
        <v>46157</v>
      </c>
      <c r="F176" s="20" t="s">
        <v>982</v>
      </c>
      <c r="G176" s="22" t="s">
        <v>66</v>
      </c>
      <c r="H176" s="22" t="s">
        <v>983</v>
      </c>
      <c r="I176" s="22" t="s">
        <v>984</v>
      </c>
      <c r="J176" s="23">
        <v>52500</v>
      </c>
      <c r="K176" s="23">
        <v>53000</v>
      </c>
      <c r="L176" s="23">
        <v>50000</v>
      </c>
      <c r="M176" s="23">
        <v>3000</v>
      </c>
      <c r="N176" s="24">
        <f t="shared" si="5"/>
        <v>0.94339622641509435</v>
      </c>
      <c r="O176" s="21">
        <v>46139</v>
      </c>
      <c r="P176" s="22" t="s">
        <v>882</v>
      </c>
      <c r="Q176" s="22" t="s">
        <v>19</v>
      </c>
      <c r="R176" s="20" t="s">
        <v>23</v>
      </c>
      <c r="S176" s="22" t="s">
        <v>11</v>
      </c>
      <c r="T176" s="22" t="s">
        <v>12</v>
      </c>
      <c r="U176" s="22" t="s">
        <v>82</v>
      </c>
      <c r="V176" s="22"/>
      <c r="W176" s="22"/>
      <c r="X176" s="22" t="s">
        <v>866</v>
      </c>
      <c r="Y176" s="20" t="s">
        <v>122</v>
      </c>
      <c r="Z176" s="22"/>
      <c r="AA176" s="22"/>
      <c r="AB176" s="22"/>
      <c r="AC176" s="22"/>
    </row>
    <row r="177" spans="1:29" s="25" customFormat="1" ht="14.45" customHeight="1" x14ac:dyDescent="0.25">
      <c r="A177" s="20">
        <v>263</v>
      </c>
      <c r="B177" s="20" t="s">
        <v>8</v>
      </c>
      <c r="C177" s="22">
        <v>5</v>
      </c>
      <c r="D177" s="20" t="s">
        <v>13</v>
      </c>
      <c r="E177" s="21">
        <v>46169</v>
      </c>
      <c r="F177" s="20" t="s">
        <v>1007</v>
      </c>
      <c r="G177" s="22" t="s">
        <v>50</v>
      </c>
      <c r="H177" s="22" t="s">
        <v>1008</v>
      </c>
      <c r="I177" s="22" t="s">
        <v>1009</v>
      </c>
      <c r="J177" s="23">
        <v>40000</v>
      </c>
      <c r="K177" s="23">
        <v>9350</v>
      </c>
      <c r="L177" s="23">
        <v>4950</v>
      </c>
      <c r="M177" s="23">
        <v>4400</v>
      </c>
      <c r="N177" s="24">
        <f t="shared" si="5"/>
        <v>0.52941176470588236</v>
      </c>
      <c r="O177" s="21">
        <v>46140</v>
      </c>
      <c r="P177" s="22" t="s">
        <v>1010</v>
      </c>
      <c r="Q177" s="22" t="s">
        <v>14</v>
      </c>
      <c r="R177" s="20" t="s">
        <v>26</v>
      </c>
      <c r="S177" s="22" t="s">
        <v>11</v>
      </c>
      <c r="T177" s="22" t="s">
        <v>12</v>
      </c>
      <c r="U177" s="22" t="s">
        <v>82</v>
      </c>
      <c r="V177" s="22"/>
      <c r="W177" s="22"/>
      <c r="X177" s="22" t="s">
        <v>866</v>
      </c>
      <c r="Y177" s="20" t="s">
        <v>122</v>
      </c>
      <c r="Z177" s="22"/>
      <c r="AA177" s="22"/>
      <c r="AB177" s="22"/>
      <c r="AC177" s="22"/>
    </row>
    <row r="178" spans="1:29" s="25" customFormat="1" ht="14.45" customHeight="1" x14ac:dyDescent="0.25">
      <c r="A178" s="26">
        <v>264</v>
      </c>
      <c r="B178" s="26" t="s">
        <v>8</v>
      </c>
      <c r="C178" s="28">
        <v>5</v>
      </c>
      <c r="D178" s="26" t="s">
        <v>13</v>
      </c>
      <c r="E178" s="27">
        <v>46169</v>
      </c>
      <c r="F178" s="26" t="s">
        <v>1007</v>
      </c>
      <c r="G178" s="28" t="s">
        <v>50</v>
      </c>
      <c r="H178" s="28" t="s">
        <v>1011</v>
      </c>
      <c r="I178" s="28" t="s">
        <v>1012</v>
      </c>
      <c r="J178" s="29">
        <v>60000</v>
      </c>
      <c r="K178" s="29">
        <v>62250</v>
      </c>
      <c r="L178" s="29">
        <v>60750</v>
      </c>
      <c r="M178" s="29">
        <v>1500</v>
      </c>
      <c r="N178" s="30">
        <f t="shared" si="5"/>
        <v>0.97590361445783136</v>
      </c>
      <c r="O178" s="27">
        <v>46140</v>
      </c>
      <c r="P178" s="28" t="s">
        <v>1013</v>
      </c>
      <c r="Q178" s="28" t="s">
        <v>43</v>
      </c>
      <c r="R178" s="26" t="s">
        <v>23</v>
      </c>
      <c r="S178" s="28" t="s">
        <v>11</v>
      </c>
      <c r="T178" s="28" t="s">
        <v>12</v>
      </c>
      <c r="U178" s="28" t="s">
        <v>82</v>
      </c>
      <c r="V178" s="28"/>
      <c r="W178" s="28"/>
      <c r="X178" s="28" t="s">
        <v>866</v>
      </c>
      <c r="Y178" s="26" t="s">
        <v>122</v>
      </c>
      <c r="Z178" s="28"/>
      <c r="AA178" s="28"/>
      <c r="AB178" s="28"/>
      <c r="AC178" s="28"/>
    </row>
    <row r="179" spans="1:29" s="25" customFormat="1" ht="14.45" customHeight="1" x14ac:dyDescent="0.25">
      <c r="A179" s="20">
        <v>265</v>
      </c>
      <c r="B179" s="20" t="s">
        <v>8</v>
      </c>
      <c r="C179" s="22">
        <v>5</v>
      </c>
      <c r="D179" s="20" t="s">
        <v>13</v>
      </c>
      <c r="E179" s="21">
        <v>46169</v>
      </c>
      <c r="F179" s="20" t="s">
        <v>1007</v>
      </c>
      <c r="G179" s="22" t="s">
        <v>50</v>
      </c>
      <c r="H179" s="22" t="s">
        <v>1014</v>
      </c>
      <c r="I179" s="22" t="s">
        <v>1015</v>
      </c>
      <c r="J179" s="23">
        <v>40000</v>
      </c>
      <c r="K179" s="23">
        <v>41250</v>
      </c>
      <c r="L179" s="23">
        <v>41250</v>
      </c>
      <c r="M179" s="23">
        <v>0</v>
      </c>
      <c r="N179" s="24">
        <f t="shared" si="5"/>
        <v>1</v>
      </c>
      <c r="O179" s="21">
        <v>46140</v>
      </c>
      <c r="P179" s="22" t="s">
        <v>1013</v>
      </c>
      <c r="Q179" s="22" t="s">
        <v>43</v>
      </c>
      <c r="R179" s="20" t="s">
        <v>23</v>
      </c>
      <c r="S179" s="22" t="s">
        <v>11</v>
      </c>
      <c r="T179" s="22" t="s">
        <v>12</v>
      </c>
      <c r="U179" s="22" t="s">
        <v>82</v>
      </c>
      <c r="V179" s="22"/>
      <c r="W179" s="22"/>
      <c r="X179" s="22" t="s">
        <v>866</v>
      </c>
      <c r="Y179" s="20" t="s">
        <v>122</v>
      </c>
      <c r="Z179" s="22"/>
      <c r="AA179" s="22"/>
      <c r="AB179" s="22"/>
      <c r="AC179" s="22"/>
    </row>
    <row r="180" spans="1:29" s="25" customFormat="1" ht="14.45" customHeight="1" x14ac:dyDescent="0.25">
      <c r="A180" s="20">
        <v>261</v>
      </c>
      <c r="B180" s="20" t="s">
        <v>8</v>
      </c>
      <c r="C180" s="22">
        <v>5</v>
      </c>
      <c r="D180" s="20" t="s">
        <v>13</v>
      </c>
      <c r="E180" s="21">
        <v>46168</v>
      </c>
      <c r="F180" s="20" t="s">
        <v>1001</v>
      </c>
      <c r="G180" s="22" t="s">
        <v>59</v>
      </c>
      <c r="H180" s="22" t="s">
        <v>1002</v>
      </c>
      <c r="I180" s="22" t="s">
        <v>1003</v>
      </c>
      <c r="J180" s="23">
        <v>12000</v>
      </c>
      <c r="K180" s="23">
        <v>16000</v>
      </c>
      <c r="L180" s="23">
        <v>12500</v>
      </c>
      <c r="M180" s="23">
        <v>3500</v>
      </c>
      <c r="N180" s="24">
        <f t="shared" si="5"/>
        <v>0.78125</v>
      </c>
      <c r="O180" s="21">
        <v>46157</v>
      </c>
      <c r="P180" s="22" t="s">
        <v>1004</v>
      </c>
      <c r="Q180" s="22" t="s">
        <v>1147</v>
      </c>
      <c r="R180" s="20" t="s">
        <v>26</v>
      </c>
      <c r="S180" s="22" t="s">
        <v>11</v>
      </c>
      <c r="T180" s="22" t="s">
        <v>12</v>
      </c>
      <c r="U180" s="22" t="s">
        <v>82</v>
      </c>
      <c r="V180" s="22"/>
      <c r="W180" s="22"/>
      <c r="X180" s="22" t="s">
        <v>866</v>
      </c>
      <c r="Y180" s="20" t="s">
        <v>122</v>
      </c>
      <c r="Z180" s="22"/>
      <c r="AA180" s="22"/>
      <c r="AB180" s="22"/>
      <c r="AC180" s="22"/>
    </row>
    <row r="181" spans="1:29" s="25" customFormat="1" ht="14.45" customHeight="1" x14ac:dyDescent="0.25">
      <c r="A181" s="26">
        <v>260</v>
      </c>
      <c r="B181" s="26" t="s">
        <v>8</v>
      </c>
      <c r="C181" s="28">
        <v>5</v>
      </c>
      <c r="D181" s="26" t="s">
        <v>13</v>
      </c>
      <c r="E181" s="27">
        <v>46167</v>
      </c>
      <c r="F181" s="26" t="s">
        <v>998</v>
      </c>
      <c r="G181" s="28" t="s">
        <v>59</v>
      </c>
      <c r="H181" s="28" t="s">
        <v>999</v>
      </c>
      <c r="I181" s="28" t="s">
        <v>1000</v>
      </c>
      <c r="J181" s="29">
        <v>5000</v>
      </c>
      <c r="K181" s="29">
        <v>6300</v>
      </c>
      <c r="L181" s="29">
        <v>5250</v>
      </c>
      <c r="M181" s="29">
        <v>1050</v>
      </c>
      <c r="N181" s="30">
        <f t="shared" si="5"/>
        <v>0.83333333333333337</v>
      </c>
      <c r="O181" s="27">
        <v>46160</v>
      </c>
      <c r="P181" s="28" t="s">
        <v>639</v>
      </c>
      <c r="Q181" s="28" t="s">
        <v>19</v>
      </c>
      <c r="R181" s="26" t="s">
        <v>23</v>
      </c>
      <c r="S181" s="28" t="s">
        <v>11</v>
      </c>
      <c r="T181" s="28" t="s">
        <v>12</v>
      </c>
      <c r="U181" s="28" t="s">
        <v>82</v>
      </c>
      <c r="V181" s="28"/>
      <c r="W181" s="28"/>
      <c r="X181" s="28" t="s">
        <v>866</v>
      </c>
      <c r="Y181" s="26" t="s">
        <v>122</v>
      </c>
      <c r="Z181" s="28"/>
      <c r="AA181" s="28"/>
      <c r="AB181" s="28"/>
      <c r="AC181" s="28"/>
    </row>
    <row r="182" spans="1:29" ht="14.45" customHeight="1" x14ac:dyDescent="0.25">
      <c r="A182" s="5">
        <v>271</v>
      </c>
      <c r="B182" s="5" t="s">
        <v>9</v>
      </c>
      <c r="C182" s="7">
        <v>6</v>
      </c>
      <c r="D182" s="5" t="s">
        <v>10</v>
      </c>
      <c r="E182" s="6">
        <v>46175</v>
      </c>
      <c r="F182" s="5" t="s">
        <v>1035</v>
      </c>
      <c r="G182" s="7" t="s">
        <v>54</v>
      </c>
      <c r="H182" s="7" t="s">
        <v>1036</v>
      </c>
      <c r="I182" s="7" t="s">
        <v>1037</v>
      </c>
      <c r="J182" s="1">
        <v>7000</v>
      </c>
      <c r="K182" s="1">
        <v>7000</v>
      </c>
      <c r="L182" s="1">
        <v>0</v>
      </c>
      <c r="M182" s="1">
        <v>6800</v>
      </c>
      <c r="N182" s="8">
        <f t="shared" si="5"/>
        <v>0</v>
      </c>
      <c r="O182" s="6">
        <v>46154</v>
      </c>
      <c r="P182" s="7" t="s">
        <v>1038</v>
      </c>
      <c r="Q182" s="7" t="s">
        <v>43</v>
      </c>
      <c r="R182" s="5" t="s">
        <v>23</v>
      </c>
      <c r="S182" s="7" t="s">
        <v>75</v>
      </c>
      <c r="T182" s="7" t="s">
        <v>12</v>
      </c>
      <c r="U182" s="7" t="s">
        <v>83</v>
      </c>
      <c r="V182" s="7" t="s">
        <v>1039</v>
      </c>
      <c r="W182" s="7" t="s">
        <v>1040</v>
      </c>
      <c r="X182" s="7"/>
      <c r="Y182" s="5" t="s">
        <v>122</v>
      </c>
      <c r="Z182" s="7" t="s">
        <v>1041</v>
      </c>
      <c r="AA182" s="7" t="s">
        <v>1042</v>
      </c>
      <c r="AB182" s="7" t="s">
        <v>1043</v>
      </c>
      <c r="AC182" s="7" t="s">
        <v>1044</v>
      </c>
    </row>
    <row r="183" spans="1:29" ht="14.45" customHeight="1" x14ac:dyDescent="0.25">
      <c r="A183" s="9">
        <v>272</v>
      </c>
      <c r="B183" s="9" t="s">
        <v>9</v>
      </c>
      <c r="C183" s="11">
        <v>6</v>
      </c>
      <c r="D183" s="9" t="s">
        <v>10</v>
      </c>
      <c r="E183" s="10">
        <v>46175</v>
      </c>
      <c r="F183" s="9" t="s">
        <v>1035</v>
      </c>
      <c r="G183" s="11" t="s">
        <v>54</v>
      </c>
      <c r="H183" s="11" t="s">
        <v>1045</v>
      </c>
      <c r="I183" s="11" t="s">
        <v>1046</v>
      </c>
      <c r="J183" s="2">
        <v>10000</v>
      </c>
      <c r="K183" s="2">
        <v>10500</v>
      </c>
      <c r="L183" s="2">
        <v>0</v>
      </c>
      <c r="M183" s="2">
        <v>10185</v>
      </c>
      <c r="N183" s="12">
        <f t="shared" si="5"/>
        <v>0</v>
      </c>
      <c r="O183" s="10">
        <v>46154</v>
      </c>
      <c r="P183" s="11" t="s">
        <v>1038</v>
      </c>
      <c r="Q183" s="11" t="s">
        <v>43</v>
      </c>
      <c r="R183" s="9" t="s">
        <v>23</v>
      </c>
      <c r="S183" s="11" t="s">
        <v>75</v>
      </c>
      <c r="T183" s="11" t="s">
        <v>12</v>
      </c>
      <c r="U183" s="11" t="s">
        <v>83</v>
      </c>
      <c r="V183" s="11" t="s">
        <v>1039</v>
      </c>
      <c r="W183" s="11" t="s">
        <v>1040</v>
      </c>
      <c r="X183" s="11"/>
      <c r="Y183" s="9" t="s">
        <v>122</v>
      </c>
      <c r="Z183" s="11" t="s">
        <v>1047</v>
      </c>
      <c r="AA183" s="11" t="s">
        <v>1042</v>
      </c>
      <c r="AB183" s="11" t="s">
        <v>1043</v>
      </c>
      <c r="AC183" s="11" t="s">
        <v>1044</v>
      </c>
    </row>
    <row r="184" spans="1:29" s="25" customFormat="1" ht="14.45" customHeight="1" x14ac:dyDescent="0.25">
      <c r="A184" s="20">
        <v>273</v>
      </c>
      <c r="B184" s="20" t="s">
        <v>9</v>
      </c>
      <c r="C184" s="22">
        <v>6</v>
      </c>
      <c r="D184" s="20" t="s">
        <v>13</v>
      </c>
      <c r="E184" s="21">
        <v>46175</v>
      </c>
      <c r="F184" s="20" t="s">
        <v>1028</v>
      </c>
      <c r="G184" s="22" t="s">
        <v>57</v>
      </c>
      <c r="H184" s="22" t="s">
        <v>1029</v>
      </c>
      <c r="I184" s="22" t="s">
        <v>1030</v>
      </c>
      <c r="J184" s="23">
        <v>100000</v>
      </c>
      <c r="K184" s="23">
        <v>49250</v>
      </c>
      <c r="L184" s="23">
        <v>24000</v>
      </c>
      <c r="M184" s="23">
        <v>25250</v>
      </c>
      <c r="N184" s="24">
        <f t="shared" si="5"/>
        <v>0.48730964467005078</v>
      </c>
      <c r="O184" s="21">
        <v>46149</v>
      </c>
      <c r="P184" s="22" t="s">
        <v>1031</v>
      </c>
      <c r="Q184" s="22" t="s">
        <v>14</v>
      </c>
      <c r="R184" s="20" t="s">
        <v>26</v>
      </c>
      <c r="S184" s="22" t="s">
        <v>75</v>
      </c>
      <c r="T184" s="22" t="s">
        <v>12</v>
      </c>
      <c r="U184" s="22" t="s">
        <v>82</v>
      </c>
      <c r="V184" s="22"/>
      <c r="W184" s="22"/>
      <c r="X184" s="22" t="s">
        <v>889</v>
      </c>
      <c r="Y184" s="20" t="s">
        <v>122</v>
      </c>
      <c r="Z184" s="22"/>
      <c r="AA184" s="22"/>
      <c r="AB184" s="22"/>
      <c r="AC184" s="22"/>
    </row>
    <row r="185" spans="1:29" s="25" customFormat="1" ht="14.45" customHeight="1" x14ac:dyDescent="0.25">
      <c r="A185" s="20">
        <v>274</v>
      </c>
      <c r="B185" s="20" t="s">
        <v>9</v>
      </c>
      <c r="C185" s="22">
        <v>6</v>
      </c>
      <c r="D185" s="20" t="s">
        <v>13</v>
      </c>
      <c r="E185" s="21">
        <v>46175</v>
      </c>
      <c r="F185" s="20" t="s">
        <v>1028</v>
      </c>
      <c r="G185" s="22" t="s">
        <v>57</v>
      </c>
      <c r="H185" s="22" t="s">
        <v>1032</v>
      </c>
      <c r="I185" s="22" t="s">
        <v>1033</v>
      </c>
      <c r="J185" s="23">
        <v>13000</v>
      </c>
      <c r="K185" s="23">
        <v>13000</v>
      </c>
      <c r="L185" s="23">
        <v>8630</v>
      </c>
      <c r="M185" s="23">
        <v>4370</v>
      </c>
      <c r="N185" s="24">
        <f t="shared" si="5"/>
        <v>0.66384615384615386</v>
      </c>
      <c r="O185" s="21">
        <v>46149</v>
      </c>
      <c r="P185" s="22" t="s">
        <v>1034</v>
      </c>
      <c r="Q185" s="22" t="s">
        <v>19</v>
      </c>
      <c r="R185" s="20" t="s">
        <v>23</v>
      </c>
      <c r="S185" s="22" t="s">
        <v>75</v>
      </c>
      <c r="T185" s="22" t="s">
        <v>12</v>
      </c>
      <c r="U185" s="22" t="s">
        <v>82</v>
      </c>
      <c r="V185" s="22"/>
      <c r="W185" s="22"/>
      <c r="X185" s="22" t="s">
        <v>889</v>
      </c>
      <c r="Y185" s="20" t="s">
        <v>122</v>
      </c>
      <c r="Z185" s="22"/>
      <c r="AA185" s="22"/>
      <c r="AB185" s="22"/>
      <c r="AC185" s="22"/>
    </row>
    <row r="186" spans="1:29" ht="14.45" customHeight="1" x14ac:dyDescent="0.25">
      <c r="A186" s="5">
        <v>275</v>
      </c>
      <c r="B186" s="5" t="s">
        <v>9</v>
      </c>
      <c r="C186" s="7">
        <v>6</v>
      </c>
      <c r="D186" s="5" t="s">
        <v>15</v>
      </c>
      <c r="E186" s="6">
        <v>46176</v>
      </c>
      <c r="F186" s="5" t="s">
        <v>902</v>
      </c>
      <c r="G186" s="7" t="s">
        <v>39</v>
      </c>
      <c r="H186" s="7" t="s">
        <v>1048</v>
      </c>
      <c r="I186" s="7" t="s">
        <v>1049</v>
      </c>
      <c r="J186" s="1">
        <v>15000</v>
      </c>
      <c r="K186" s="1">
        <v>15750</v>
      </c>
      <c r="L186" s="1"/>
      <c r="M186" s="1"/>
      <c r="N186" s="8">
        <f t="shared" si="5"/>
        <v>0</v>
      </c>
      <c r="O186" s="6"/>
      <c r="P186" s="7" t="s">
        <v>1050</v>
      </c>
      <c r="Q186" s="7" t="s">
        <v>14</v>
      </c>
      <c r="R186" s="5" t="s">
        <v>26</v>
      </c>
      <c r="S186" s="7" t="s">
        <v>11</v>
      </c>
      <c r="T186" s="7" t="s">
        <v>56</v>
      </c>
      <c r="U186" s="7" t="s">
        <v>82</v>
      </c>
      <c r="V186" s="7"/>
      <c r="W186" s="7"/>
      <c r="X186" s="7"/>
      <c r="Y186" s="5" t="s">
        <v>122</v>
      </c>
      <c r="Z186" s="7"/>
      <c r="AA186" s="7"/>
      <c r="AB186" s="7"/>
      <c r="AC186" s="7"/>
    </row>
    <row r="187" spans="1:29" ht="14.45" customHeight="1" x14ac:dyDescent="0.25">
      <c r="A187" s="9">
        <v>276</v>
      </c>
      <c r="B187" s="9" t="s">
        <v>9</v>
      </c>
      <c r="C187" s="11">
        <v>6</v>
      </c>
      <c r="D187" s="9" t="s">
        <v>15</v>
      </c>
      <c r="E187" s="10">
        <v>46176</v>
      </c>
      <c r="F187" s="9" t="s">
        <v>818</v>
      </c>
      <c r="G187" s="7" t="s">
        <v>39</v>
      </c>
      <c r="H187" s="11" t="s">
        <v>1051</v>
      </c>
      <c r="I187" s="11" t="s">
        <v>1052</v>
      </c>
      <c r="J187" s="2">
        <v>90000</v>
      </c>
      <c r="K187" s="2">
        <v>80550</v>
      </c>
      <c r="L187" s="2">
        <v>0</v>
      </c>
      <c r="M187" s="2">
        <v>0</v>
      </c>
      <c r="N187" s="12">
        <f t="shared" si="5"/>
        <v>0</v>
      </c>
      <c r="O187" s="10"/>
      <c r="P187" s="11" t="s">
        <v>1053</v>
      </c>
      <c r="Q187" s="11" t="s">
        <v>19</v>
      </c>
      <c r="R187" s="9" t="s">
        <v>23</v>
      </c>
      <c r="S187" s="11" t="s">
        <v>75</v>
      </c>
      <c r="T187" s="11" t="s">
        <v>12</v>
      </c>
      <c r="U187" s="11" t="s">
        <v>84</v>
      </c>
      <c r="V187" s="11" t="s">
        <v>1054</v>
      </c>
      <c r="W187" s="11" t="s">
        <v>1040</v>
      </c>
      <c r="X187" s="11"/>
      <c r="Y187" s="9" t="s">
        <v>122</v>
      </c>
      <c r="Z187" s="11"/>
      <c r="AA187" s="11"/>
      <c r="AB187" s="11"/>
      <c r="AC187" s="11"/>
    </row>
    <row r="188" spans="1:29" s="25" customFormat="1" ht="14.45" customHeight="1" x14ac:dyDescent="0.25">
      <c r="A188" s="20">
        <v>277</v>
      </c>
      <c r="B188" s="20" t="s">
        <v>9</v>
      </c>
      <c r="C188" s="22">
        <v>6</v>
      </c>
      <c r="D188" s="20" t="s">
        <v>13</v>
      </c>
      <c r="E188" s="21">
        <v>46176</v>
      </c>
      <c r="F188" s="20" t="s">
        <v>1028</v>
      </c>
      <c r="G188" s="22" t="s">
        <v>57</v>
      </c>
      <c r="H188" s="22" t="s">
        <v>1055</v>
      </c>
      <c r="I188" s="22" t="s">
        <v>1056</v>
      </c>
      <c r="J188" s="23">
        <v>26000</v>
      </c>
      <c r="K188" s="23">
        <v>2000</v>
      </c>
      <c r="L188" s="23">
        <v>1250</v>
      </c>
      <c r="M188" s="23">
        <v>750</v>
      </c>
      <c r="N188" s="24">
        <f t="shared" si="5"/>
        <v>0.625</v>
      </c>
      <c r="O188" s="21">
        <v>46149</v>
      </c>
      <c r="P188" s="22" t="s">
        <v>1057</v>
      </c>
      <c r="Q188" s="22" t="s">
        <v>19</v>
      </c>
      <c r="R188" s="20" t="s">
        <v>23</v>
      </c>
      <c r="S188" s="22" t="s">
        <v>75</v>
      </c>
      <c r="T188" s="22" t="s">
        <v>74</v>
      </c>
      <c r="U188" s="22" t="s">
        <v>82</v>
      </c>
      <c r="V188" s="22"/>
      <c r="W188" s="22"/>
      <c r="X188" s="22" t="s">
        <v>889</v>
      </c>
      <c r="Y188" s="20" t="s">
        <v>122</v>
      </c>
      <c r="Z188" s="22"/>
      <c r="AA188" s="22"/>
      <c r="AB188" s="22"/>
      <c r="AC188" s="22"/>
    </row>
    <row r="189" spans="1:29" ht="14.45" customHeight="1" x14ac:dyDescent="0.25">
      <c r="A189" s="9">
        <v>278</v>
      </c>
      <c r="B189" s="9" t="s">
        <v>9</v>
      </c>
      <c r="C189" s="11">
        <v>6</v>
      </c>
      <c r="D189" s="9" t="s">
        <v>10</v>
      </c>
      <c r="E189" s="10">
        <v>46177</v>
      </c>
      <c r="F189" s="9" t="s">
        <v>814</v>
      </c>
      <c r="G189" s="7" t="s">
        <v>39</v>
      </c>
      <c r="H189" s="11" t="s">
        <v>1058</v>
      </c>
      <c r="I189" s="11" t="s">
        <v>815</v>
      </c>
      <c r="J189" s="2">
        <v>6000</v>
      </c>
      <c r="K189" s="2">
        <v>4050</v>
      </c>
      <c r="L189" s="2">
        <v>4050</v>
      </c>
      <c r="M189" s="2">
        <v>0</v>
      </c>
      <c r="N189" s="12">
        <f t="shared" si="5"/>
        <v>1</v>
      </c>
      <c r="O189" s="10">
        <v>46119</v>
      </c>
      <c r="P189" s="11" t="s">
        <v>1059</v>
      </c>
      <c r="Q189" s="11" t="s">
        <v>14</v>
      </c>
      <c r="R189" s="9" t="s">
        <v>26</v>
      </c>
      <c r="S189" s="11" t="s">
        <v>75</v>
      </c>
      <c r="T189" s="11" t="s">
        <v>12</v>
      </c>
      <c r="U189" s="11" t="s">
        <v>84</v>
      </c>
      <c r="V189" s="11" t="s">
        <v>1054</v>
      </c>
      <c r="W189" s="11" t="s">
        <v>1040</v>
      </c>
      <c r="X189" s="11" t="s">
        <v>889</v>
      </c>
      <c r="Y189" s="9" t="s">
        <v>122</v>
      </c>
      <c r="Z189" s="11" t="s">
        <v>1060</v>
      </c>
      <c r="AA189" s="11" t="s">
        <v>1061</v>
      </c>
      <c r="AB189" s="11" t="s">
        <v>1062</v>
      </c>
      <c r="AC189" s="11" t="s">
        <v>1063</v>
      </c>
    </row>
    <row r="190" spans="1:29" ht="14.45" customHeight="1" x14ac:dyDescent="0.25">
      <c r="A190" s="5">
        <v>279</v>
      </c>
      <c r="B190" s="5" t="s">
        <v>9</v>
      </c>
      <c r="C190" s="7">
        <v>6</v>
      </c>
      <c r="D190" s="5" t="s">
        <v>10</v>
      </c>
      <c r="E190" s="6">
        <v>46177</v>
      </c>
      <c r="F190" s="5" t="s">
        <v>1064</v>
      </c>
      <c r="G190" s="7" t="s">
        <v>1065</v>
      </c>
      <c r="H190" s="7" t="s">
        <v>1066</v>
      </c>
      <c r="I190" s="7" t="s">
        <v>1067</v>
      </c>
      <c r="J190" s="1">
        <v>10000</v>
      </c>
      <c r="K190" s="1">
        <v>10500</v>
      </c>
      <c r="L190" s="1">
        <v>0</v>
      </c>
      <c r="M190" s="1">
        <v>10500</v>
      </c>
      <c r="N190" s="8">
        <f t="shared" si="5"/>
        <v>0</v>
      </c>
      <c r="O190" s="6">
        <v>46176</v>
      </c>
      <c r="P190" s="7" t="s">
        <v>1068</v>
      </c>
      <c r="Q190" s="7" t="s">
        <v>37</v>
      </c>
      <c r="R190" s="5" t="s">
        <v>23</v>
      </c>
      <c r="S190" s="7" t="s">
        <v>75</v>
      </c>
      <c r="T190" s="7" t="s">
        <v>28</v>
      </c>
      <c r="U190" s="7" t="s">
        <v>82</v>
      </c>
      <c r="V190" s="7" t="s">
        <v>1069</v>
      </c>
      <c r="W190" s="7" t="s">
        <v>1070</v>
      </c>
      <c r="X190" s="7"/>
      <c r="Y190" s="5" t="s">
        <v>602</v>
      </c>
      <c r="Z190" s="7" t="s">
        <v>1071</v>
      </c>
      <c r="AA190" s="7" t="s">
        <v>1072</v>
      </c>
      <c r="AB190" s="7" t="s">
        <v>1073</v>
      </c>
      <c r="AC190" s="7" t="s">
        <v>1074</v>
      </c>
    </row>
    <row r="191" spans="1:29" ht="14.45" customHeight="1" x14ac:dyDescent="0.25">
      <c r="A191" s="9">
        <v>280</v>
      </c>
      <c r="B191" s="9" t="s">
        <v>9</v>
      </c>
      <c r="C191" s="11">
        <v>6</v>
      </c>
      <c r="D191" s="9" t="s">
        <v>15</v>
      </c>
      <c r="E191" s="10">
        <v>46177</v>
      </c>
      <c r="F191" s="9" t="s">
        <v>998</v>
      </c>
      <c r="G191" s="11" t="s">
        <v>59</v>
      </c>
      <c r="H191" s="11" t="s">
        <v>1075</v>
      </c>
      <c r="I191" s="11" t="s">
        <v>1076</v>
      </c>
      <c r="J191" s="2">
        <v>65000</v>
      </c>
      <c r="K191" s="2">
        <v>20000</v>
      </c>
      <c r="L191" s="2">
        <v>0</v>
      </c>
      <c r="M191" s="2">
        <v>0</v>
      </c>
      <c r="N191" s="12">
        <f t="shared" si="5"/>
        <v>0</v>
      </c>
      <c r="O191" s="10">
        <v>46164</v>
      </c>
      <c r="P191" s="11" t="s">
        <v>1077</v>
      </c>
      <c r="Q191" s="11" t="s">
        <v>16</v>
      </c>
      <c r="R191" s="9" t="s">
        <v>23</v>
      </c>
      <c r="S191" s="11" t="s">
        <v>75</v>
      </c>
      <c r="T191" s="11" t="s">
        <v>12</v>
      </c>
      <c r="U191" s="11" t="s">
        <v>83</v>
      </c>
      <c r="V191" s="11" t="s">
        <v>1078</v>
      </c>
      <c r="W191" s="11" t="s">
        <v>1040</v>
      </c>
      <c r="X191" s="11"/>
      <c r="Y191" s="9" t="s">
        <v>122</v>
      </c>
      <c r="Z191" s="11" t="s">
        <v>1079</v>
      </c>
      <c r="AA191" s="11" t="s">
        <v>1080</v>
      </c>
      <c r="AB191" s="11" t="s">
        <v>1081</v>
      </c>
      <c r="AC191" s="11"/>
    </row>
    <row r="192" spans="1:29" s="25" customFormat="1" ht="14.45" customHeight="1" x14ac:dyDescent="0.25">
      <c r="A192" s="20">
        <v>281</v>
      </c>
      <c r="B192" s="20" t="s">
        <v>9</v>
      </c>
      <c r="C192" s="22">
        <v>6</v>
      </c>
      <c r="D192" s="20" t="s">
        <v>13</v>
      </c>
      <c r="E192" s="21">
        <v>46177</v>
      </c>
      <c r="F192" s="20" t="s">
        <v>1016</v>
      </c>
      <c r="G192" s="11" t="s">
        <v>42</v>
      </c>
      <c r="H192" s="22" t="s">
        <v>1082</v>
      </c>
      <c r="I192" s="22" t="s">
        <v>1083</v>
      </c>
      <c r="J192" s="23">
        <v>88000</v>
      </c>
      <c r="K192" s="23">
        <v>5950</v>
      </c>
      <c r="L192" s="23">
        <v>4792</v>
      </c>
      <c r="M192" s="23">
        <v>1158</v>
      </c>
      <c r="N192" s="24">
        <f t="shared" si="5"/>
        <v>0.80537815126050416</v>
      </c>
      <c r="O192" s="21">
        <v>46126</v>
      </c>
      <c r="P192" s="22" t="s">
        <v>1084</v>
      </c>
      <c r="Q192" s="22" t="s">
        <v>40</v>
      </c>
      <c r="R192" s="20" t="s">
        <v>26</v>
      </c>
      <c r="S192" s="22" t="s">
        <v>75</v>
      </c>
      <c r="T192" s="22" t="s">
        <v>12</v>
      </c>
      <c r="U192" s="22" t="s">
        <v>82</v>
      </c>
      <c r="V192" s="22"/>
      <c r="W192" s="22"/>
      <c r="X192" s="22" t="s">
        <v>889</v>
      </c>
      <c r="Y192" s="20" t="s">
        <v>122</v>
      </c>
      <c r="Z192" s="22"/>
      <c r="AA192" s="22"/>
      <c r="AB192" s="22"/>
      <c r="AC192" s="22"/>
    </row>
    <row r="193" spans="1:29" s="25" customFormat="1" ht="14.45" customHeight="1" x14ac:dyDescent="0.25">
      <c r="A193" s="20">
        <v>282</v>
      </c>
      <c r="B193" s="20" t="s">
        <v>9</v>
      </c>
      <c r="C193" s="22">
        <v>6</v>
      </c>
      <c r="D193" s="20" t="s">
        <v>13</v>
      </c>
      <c r="E193" s="21">
        <v>46177</v>
      </c>
      <c r="F193" s="20" t="s">
        <v>1085</v>
      </c>
      <c r="G193" s="11" t="s">
        <v>42</v>
      </c>
      <c r="H193" s="22" t="s">
        <v>1086</v>
      </c>
      <c r="I193" s="22" t="s">
        <v>1087</v>
      </c>
      <c r="J193" s="23">
        <v>7300</v>
      </c>
      <c r="K193" s="23">
        <v>1050</v>
      </c>
      <c r="L193" s="23">
        <v>1050</v>
      </c>
      <c r="M193" s="23">
        <v>0</v>
      </c>
      <c r="N193" s="24">
        <f t="shared" si="5"/>
        <v>1</v>
      </c>
      <c r="O193" s="21">
        <v>46147</v>
      </c>
      <c r="P193" s="22" t="s">
        <v>1088</v>
      </c>
      <c r="Q193" s="22" t="s">
        <v>18</v>
      </c>
      <c r="R193" s="20" t="s">
        <v>23</v>
      </c>
      <c r="S193" s="22" t="s">
        <v>75</v>
      </c>
      <c r="T193" s="22" t="s">
        <v>22</v>
      </c>
      <c r="U193" s="22" t="s">
        <v>82</v>
      </c>
      <c r="V193" s="22"/>
      <c r="W193" s="22"/>
      <c r="X193" s="22" t="s">
        <v>889</v>
      </c>
      <c r="Y193" s="20" t="s">
        <v>122</v>
      </c>
      <c r="Z193" s="22"/>
      <c r="AA193" s="22"/>
      <c r="AB193" s="22"/>
      <c r="AC193" s="22"/>
    </row>
    <row r="194" spans="1:29" s="25" customFormat="1" ht="14.45" customHeight="1" x14ac:dyDescent="0.25">
      <c r="A194" s="20">
        <v>283</v>
      </c>
      <c r="B194" s="20" t="s">
        <v>9</v>
      </c>
      <c r="C194" s="22">
        <v>6</v>
      </c>
      <c r="D194" s="20" t="s">
        <v>13</v>
      </c>
      <c r="E194" s="21">
        <v>46178</v>
      </c>
      <c r="F194" s="20" t="s">
        <v>1089</v>
      </c>
      <c r="G194" s="22" t="s">
        <v>71</v>
      </c>
      <c r="H194" s="32" t="s">
        <v>1090</v>
      </c>
      <c r="I194" s="22" t="s">
        <v>1091</v>
      </c>
      <c r="J194" s="23">
        <v>4000</v>
      </c>
      <c r="K194" s="23">
        <v>4000</v>
      </c>
      <c r="L194" s="23">
        <v>3886</v>
      </c>
      <c r="M194" s="23">
        <v>114</v>
      </c>
      <c r="N194" s="24">
        <f t="shared" si="5"/>
        <v>0.97150000000000003</v>
      </c>
      <c r="O194" s="21">
        <v>46157</v>
      </c>
      <c r="P194" s="22" t="s">
        <v>1092</v>
      </c>
      <c r="Q194" s="22" t="s">
        <v>19</v>
      </c>
      <c r="R194" s="20" t="s">
        <v>23</v>
      </c>
      <c r="S194" s="22" t="s">
        <v>75</v>
      </c>
      <c r="T194" s="22" t="s">
        <v>12</v>
      </c>
      <c r="U194" s="22" t="s">
        <v>82</v>
      </c>
      <c r="V194" s="22"/>
      <c r="W194" s="22"/>
      <c r="X194" s="22" t="s">
        <v>889</v>
      </c>
      <c r="Y194" s="20" t="s">
        <v>122</v>
      </c>
      <c r="Z194" s="22"/>
      <c r="AA194" s="22"/>
      <c r="AB194" s="22"/>
      <c r="AC194" s="22"/>
    </row>
    <row r="195" spans="1:29" s="25" customFormat="1" ht="14.45" customHeight="1" x14ac:dyDescent="0.25">
      <c r="A195" s="20">
        <v>284</v>
      </c>
      <c r="B195" s="20" t="s">
        <v>9</v>
      </c>
      <c r="C195" s="22">
        <v>6</v>
      </c>
      <c r="D195" s="20" t="s">
        <v>13</v>
      </c>
      <c r="E195" s="21">
        <v>46178</v>
      </c>
      <c r="F195" s="20" t="s">
        <v>1089</v>
      </c>
      <c r="G195" s="22" t="s">
        <v>71</v>
      </c>
      <c r="H195" s="32" t="s">
        <v>1093</v>
      </c>
      <c r="I195" s="22" t="s">
        <v>1094</v>
      </c>
      <c r="J195" s="23">
        <v>2000</v>
      </c>
      <c r="K195" s="23">
        <v>2100</v>
      </c>
      <c r="L195" s="23">
        <v>2000</v>
      </c>
      <c r="M195" s="23">
        <v>100</v>
      </c>
      <c r="N195" s="24">
        <f t="shared" ref="N195:N226" si="6">IFERROR(L195/K195,"")</f>
        <v>0.95238095238095233</v>
      </c>
      <c r="O195" s="21">
        <v>46157</v>
      </c>
      <c r="P195" s="22" t="s">
        <v>1092</v>
      </c>
      <c r="Q195" s="22" t="s">
        <v>19</v>
      </c>
      <c r="R195" s="20" t="s">
        <v>23</v>
      </c>
      <c r="S195" s="22" t="s">
        <v>75</v>
      </c>
      <c r="T195" s="22" t="s">
        <v>12</v>
      </c>
      <c r="U195" s="22" t="s">
        <v>82</v>
      </c>
      <c r="V195" s="22"/>
      <c r="W195" s="22"/>
      <c r="X195" s="22" t="s">
        <v>889</v>
      </c>
      <c r="Y195" s="20" t="s">
        <v>122</v>
      </c>
      <c r="Z195" s="22"/>
      <c r="AA195" s="22"/>
      <c r="AB195" s="22"/>
      <c r="AC195" s="22"/>
    </row>
    <row r="196" spans="1:29" s="25" customFormat="1" ht="14.45" customHeight="1" x14ac:dyDescent="0.25">
      <c r="A196" s="20">
        <v>285</v>
      </c>
      <c r="B196" s="20" t="s">
        <v>9</v>
      </c>
      <c r="C196" s="22">
        <v>6</v>
      </c>
      <c r="D196" s="20" t="s">
        <v>13</v>
      </c>
      <c r="E196" s="21">
        <v>46179</v>
      </c>
      <c r="F196" s="20" t="s">
        <v>960</v>
      </c>
      <c r="G196" s="22" t="s">
        <v>71</v>
      </c>
      <c r="H196" s="32" t="s">
        <v>1095</v>
      </c>
      <c r="I196" s="22" t="s">
        <v>1096</v>
      </c>
      <c r="J196" s="23">
        <v>8000</v>
      </c>
      <c r="K196" s="23">
        <v>8100</v>
      </c>
      <c r="L196" s="23">
        <v>7594</v>
      </c>
      <c r="M196" s="23">
        <v>506</v>
      </c>
      <c r="N196" s="24">
        <f t="shared" si="6"/>
        <v>0.93753086419753084</v>
      </c>
      <c r="O196" s="21">
        <v>46135</v>
      </c>
      <c r="P196" s="22" t="s">
        <v>1097</v>
      </c>
      <c r="Q196" s="22" t="s">
        <v>19</v>
      </c>
      <c r="R196" s="20" t="s">
        <v>23</v>
      </c>
      <c r="S196" s="22" t="s">
        <v>75</v>
      </c>
      <c r="T196" s="22" t="s">
        <v>12</v>
      </c>
      <c r="U196" s="22" t="s">
        <v>82</v>
      </c>
      <c r="V196" s="22"/>
      <c r="W196" s="22"/>
      <c r="X196" s="22" t="s">
        <v>889</v>
      </c>
      <c r="Y196" s="20" t="s">
        <v>122</v>
      </c>
      <c r="Z196" s="22"/>
      <c r="AA196" s="22"/>
      <c r="AB196" s="22"/>
      <c r="AC196" s="22"/>
    </row>
    <row r="197" spans="1:29" ht="14.45" customHeight="1" x14ac:dyDescent="0.25">
      <c r="A197" s="9">
        <v>286</v>
      </c>
      <c r="B197" s="9" t="s">
        <v>9</v>
      </c>
      <c r="C197" s="11">
        <v>6</v>
      </c>
      <c r="D197" s="9" t="s">
        <v>15</v>
      </c>
      <c r="E197" s="10">
        <v>46181</v>
      </c>
      <c r="F197" s="9" t="s">
        <v>1098</v>
      </c>
      <c r="G197" s="11" t="s">
        <v>47</v>
      </c>
      <c r="H197" s="11" t="s">
        <v>618</v>
      </c>
      <c r="I197" s="11" t="s">
        <v>619</v>
      </c>
      <c r="J197" s="2">
        <v>200000</v>
      </c>
      <c r="K197" s="2">
        <v>0</v>
      </c>
      <c r="L197" s="2">
        <v>0</v>
      </c>
      <c r="M197" s="2">
        <v>0</v>
      </c>
      <c r="N197" s="12" t="str">
        <f t="shared" si="6"/>
        <v/>
      </c>
      <c r="O197" s="10">
        <v>46146</v>
      </c>
      <c r="P197" s="11" t="s">
        <v>1099</v>
      </c>
      <c r="Q197" s="11" t="s">
        <v>51</v>
      </c>
      <c r="R197" s="9" t="s">
        <v>23</v>
      </c>
      <c r="S197" s="11" t="s">
        <v>11</v>
      </c>
      <c r="T197" s="11" t="s">
        <v>38</v>
      </c>
      <c r="U197" s="11" t="s">
        <v>82</v>
      </c>
      <c r="V197" s="11"/>
      <c r="W197" s="11"/>
      <c r="X197" s="11"/>
      <c r="Y197" s="9" t="s">
        <v>122</v>
      </c>
      <c r="Z197" s="11" t="s">
        <v>1100</v>
      </c>
      <c r="AA197" s="11" t="s">
        <v>1101</v>
      </c>
      <c r="AB197" s="11" t="s">
        <v>1102</v>
      </c>
      <c r="AC197" s="11" t="s">
        <v>1103</v>
      </c>
    </row>
    <row r="198" spans="1:29" ht="14.45" customHeight="1" x14ac:dyDescent="0.25">
      <c r="A198" s="5">
        <v>287</v>
      </c>
      <c r="B198" s="5" t="s">
        <v>9</v>
      </c>
      <c r="C198" s="7">
        <v>6</v>
      </c>
      <c r="D198" s="5" t="s">
        <v>15</v>
      </c>
      <c r="E198" s="6">
        <v>46182</v>
      </c>
      <c r="F198" s="5" t="s">
        <v>1104</v>
      </c>
      <c r="G198" s="7" t="s">
        <v>1105</v>
      </c>
      <c r="H198" s="7" t="s">
        <v>1106</v>
      </c>
      <c r="I198" s="7" t="s">
        <v>1107</v>
      </c>
      <c r="J198" s="1">
        <v>2400000</v>
      </c>
      <c r="K198" s="1">
        <v>54</v>
      </c>
      <c r="L198" s="1">
        <v>0</v>
      </c>
      <c r="M198" s="1">
        <v>0</v>
      </c>
      <c r="N198" s="8">
        <f t="shared" si="6"/>
        <v>0</v>
      </c>
      <c r="O198" s="6">
        <v>46121</v>
      </c>
      <c r="P198" s="7" t="s">
        <v>1108</v>
      </c>
      <c r="Q198" s="7" t="s">
        <v>14</v>
      </c>
      <c r="R198" s="5" t="s">
        <v>26</v>
      </c>
      <c r="S198" s="7" t="s">
        <v>75</v>
      </c>
      <c r="T198" s="7" t="s">
        <v>12</v>
      </c>
      <c r="U198" s="7" t="s">
        <v>1109</v>
      </c>
      <c r="V198" s="7" t="s">
        <v>1054</v>
      </c>
      <c r="W198" s="7" t="s">
        <v>1040</v>
      </c>
      <c r="X198" s="7"/>
      <c r="Y198" s="5" t="s">
        <v>122</v>
      </c>
      <c r="Z198" s="7" t="s">
        <v>1110</v>
      </c>
      <c r="AA198" s="7" t="s">
        <v>1111</v>
      </c>
      <c r="AB198" s="7" t="s">
        <v>1112</v>
      </c>
      <c r="AC198" s="7" t="s">
        <v>1113</v>
      </c>
    </row>
    <row r="199" spans="1:29" ht="14.45" customHeight="1" x14ac:dyDescent="0.25">
      <c r="A199" s="9">
        <v>288</v>
      </c>
      <c r="B199" s="9" t="s">
        <v>9</v>
      </c>
      <c r="C199" s="11">
        <v>6</v>
      </c>
      <c r="D199" s="9" t="s">
        <v>10</v>
      </c>
      <c r="E199" s="10">
        <v>46182</v>
      </c>
      <c r="F199" s="9" t="s">
        <v>1114</v>
      </c>
      <c r="G199" s="11" t="s">
        <v>50</v>
      </c>
      <c r="H199" s="11" t="s">
        <v>1115</v>
      </c>
      <c r="I199" s="11" t="s">
        <v>1116</v>
      </c>
      <c r="J199" s="2">
        <v>20000</v>
      </c>
      <c r="K199" s="2">
        <v>22000</v>
      </c>
      <c r="L199" s="2">
        <v>22000</v>
      </c>
      <c r="M199" s="2">
        <v>0</v>
      </c>
      <c r="N199" s="12">
        <f t="shared" si="6"/>
        <v>1</v>
      </c>
      <c r="O199" s="10">
        <v>46178</v>
      </c>
      <c r="P199" s="11" t="s">
        <v>1117</v>
      </c>
      <c r="Q199" s="11" t="s">
        <v>30</v>
      </c>
      <c r="R199" s="9" t="s">
        <v>29</v>
      </c>
      <c r="S199" s="11" t="s">
        <v>75</v>
      </c>
      <c r="T199" s="11" t="s">
        <v>73</v>
      </c>
      <c r="U199" s="11" t="s">
        <v>89</v>
      </c>
      <c r="V199" s="11" t="s">
        <v>1118</v>
      </c>
      <c r="W199" s="11" t="s">
        <v>1119</v>
      </c>
      <c r="X199" s="11" t="s">
        <v>889</v>
      </c>
      <c r="Y199" s="9" t="s">
        <v>122</v>
      </c>
      <c r="Z199" s="11"/>
      <c r="AA199" s="11"/>
      <c r="AB199" s="11"/>
      <c r="AC199" s="11"/>
    </row>
    <row r="200" spans="1:29" ht="14.45" customHeight="1" x14ac:dyDescent="0.25">
      <c r="A200" s="5">
        <v>289</v>
      </c>
      <c r="B200" s="5" t="s">
        <v>9</v>
      </c>
      <c r="C200" s="7">
        <v>6</v>
      </c>
      <c r="D200" s="5" t="s">
        <v>10</v>
      </c>
      <c r="E200" s="6">
        <v>46182</v>
      </c>
      <c r="F200" s="5" t="s">
        <v>1114</v>
      </c>
      <c r="G200" s="7" t="s">
        <v>50</v>
      </c>
      <c r="H200" s="7" t="s">
        <v>1120</v>
      </c>
      <c r="I200" s="7" t="s">
        <v>1121</v>
      </c>
      <c r="J200" s="1">
        <v>5000</v>
      </c>
      <c r="K200" s="1">
        <v>5250</v>
      </c>
      <c r="L200" s="1">
        <v>5250</v>
      </c>
      <c r="M200" s="1">
        <v>0</v>
      </c>
      <c r="N200" s="8">
        <f t="shared" si="6"/>
        <v>1</v>
      </c>
      <c r="O200" s="6">
        <v>46177</v>
      </c>
      <c r="P200" s="7" t="s">
        <v>1122</v>
      </c>
      <c r="Q200" s="7" t="s">
        <v>30</v>
      </c>
      <c r="R200" s="5" t="s">
        <v>29</v>
      </c>
      <c r="S200" s="7" t="s">
        <v>75</v>
      </c>
      <c r="T200" s="7" t="s">
        <v>49</v>
      </c>
      <c r="U200" s="7" t="s">
        <v>82</v>
      </c>
      <c r="V200" s="7" t="s">
        <v>1123</v>
      </c>
      <c r="W200" s="7" t="s">
        <v>1124</v>
      </c>
      <c r="X200" s="7" t="s">
        <v>1125</v>
      </c>
      <c r="Y200" s="5" t="s">
        <v>122</v>
      </c>
      <c r="Z200" s="7"/>
      <c r="AA200" s="7" t="s">
        <v>1126</v>
      </c>
      <c r="AB200" s="7" t="s">
        <v>1127</v>
      </c>
      <c r="AC200" s="7" t="s">
        <v>1113</v>
      </c>
    </row>
    <row r="201" spans="1:29" ht="14.45" customHeight="1" x14ac:dyDescent="0.25">
      <c r="A201" s="9">
        <v>290</v>
      </c>
      <c r="B201" s="9" t="s">
        <v>9</v>
      </c>
      <c r="C201" s="11">
        <v>6</v>
      </c>
      <c r="D201" s="9" t="s">
        <v>15</v>
      </c>
      <c r="E201" s="10">
        <v>46182</v>
      </c>
      <c r="F201" s="9" t="s">
        <v>1128</v>
      </c>
      <c r="G201" s="11" t="s">
        <v>54</v>
      </c>
      <c r="H201" s="11" t="s">
        <v>152</v>
      </c>
      <c r="I201" s="11" t="s">
        <v>153</v>
      </c>
      <c r="J201" s="2"/>
      <c r="K201" s="2"/>
      <c r="L201" s="2"/>
      <c r="M201" s="2"/>
      <c r="N201" s="12" t="str">
        <f t="shared" si="6"/>
        <v/>
      </c>
      <c r="O201" s="10">
        <v>46111</v>
      </c>
      <c r="P201" s="11" t="s">
        <v>1129</v>
      </c>
      <c r="Q201" s="11" t="s">
        <v>51</v>
      </c>
      <c r="R201" s="9" t="s">
        <v>23</v>
      </c>
      <c r="S201" s="11" t="s">
        <v>11</v>
      </c>
      <c r="T201" s="11" t="s">
        <v>38</v>
      </c>
      <c r="U201" s="11" t="s">
        <v>82</v>
      </c>
      <c r="V201" s="11"/>
      <c r="W201" s="11"/>
      <c r="X201" s="11"/>
      <c r="Y201" s="9" t="s">
        <v>122</v>
      </c>
      <c r="Z201" s="11"/>
      <c r="AA201" s="11"/>
      <c r="AB201" s="11"/>
      <c r="AC201" s="11"/>
    </row>
    <row r="202" spans="1:29" s="25" customFormat="1" ht="14.45" customHeight="1" x14ac:dyDescent="0.25">
      <c r="A202" s="20"/>
      <c r="B202" s="20" t="s">
        <v>9</v>
      </c>
      <c r="C202" s="22">
        <v>6</v>
      </c>
      <c r="D202" s="20" t="s">
        <v>13</v>
      </c>
      <c r="E202" s="21">
        <v>46181</v>
      </c>
      <c r="F202" s="20">
        <v>22233</v>
      </c>
      <c r="G202" s="22" t="s">
        <v>1203</v>
      </c>
      <c r="H202" s="32">
        <v>4306001000293</v>
      </c>
      <c r="I202" s="22" t="s">
        <v>1204</v>
      </c>
      <c r="J202" s="23">
        <v>9200</v>
      </c>
      <c r="K202" s="23">
        <v>9660</v>
      </c>
      <c r="L202" s="23">
        <v>9500</v>
      </c>
      <c r="M202" s="23">
        <v>160</v>
      </c>
      <c r="N202" s="24">
        <f t="shared" si="6"/>
        <v>0.9834368530020704</v>
      </c>
      <c r="O202" s="21">
        <v>46160</v>
      </c>
      <c r="P202" s="22" t="s">
        <v>1190</v>
      </c>
      <c r="Q202" s="22" t="s">
        <v>19</v>
      </c>
      <c r="R202" s="20" t="s">
        <v>23</v>
      </c>
      <c r="S202" s="22"/>
      <c r="T202" s="22" t="s">
        <v>12</v>
      </c>
      <c r="U202" s="22"/>
      <c r="V202" s="22"/>
      <c r="W202" s="22"/>
      <c r="X202" s="22"/>
      <c r="Y202" s="20"/>
      <c r="Z202" s="22"/>
      <c r="AA202" s="22"/>
      <c r="AB202" s="22"/>
      <c r="AC202" s="22"/>
    </row>
    <row r="203" spans="1:29" ht="14.45" customHeight="1" x14ac:dyDescent="0.25">
      <c r="A203" s="20">
        <v>291</v>
      </c>
      <c r="B203" s="20" t="s">
        <v>9</v>
      </c>
      <c r="C203" s="22">
        <v>6</v>
      </c>
      <c r="D203" s="20" t="s">
        <v>13</v>
      </c>
      <c r="E203" s="21">
        <v>46182</v>
      </c>
      <c r="F203" s="20" t="s">
        <v>1130</v>
      </c>
      <c r="G203" s="22" t="s">
        <v>71</v>
      </c>
      <c r="H203" s="32" t="s">
        <v>1131</v>
      </c>
      <c r="I203" s="22" t="s">
        <v>1132</v>
      </c>
      <c r="J203" s="23">
        <v>17200</v>
      </c>
      <c r="K203" s="23">
        <v>18000</v>
      </c>
      <c r="L203" s="23">
        <v>17200</v>
      </c>
      <c r="M203" s="23">
        <v>800</v>
      </c>
      <c r="N203" s="24">
        <f t="shared" si="6"/>
        <v>0.9555555555555556</v>
      </c>
      <c r="O203" s="21">
        <v>46157</v>
      </c>
      <c r="P203" s="22" t="s">
        <v>1133</v>
      </c>
      <c r="Q203" s="22" t="s">
        <v>14</v>
      </c>
      <c r="R203" s="20" t="s">
        <v>26</v>
      </c>
      <c r="S203" s="22" t="s">
        <v>11</v>
      </c>
      <c r="T203" s="22" t="s">
        <v>12</v>
      </c>
      <c r="U203" s="22" t="s">
        <v>82</v>
      </c>
      <c r="V203" s="22"/>
      <c r="W203" s="22"/>
      <c r="X203" s="22" t="s">
        <v>889</v>
      </c>
      <c r="Y203" s="20" t="s">
        <v>122</v>
      </c>
      <c r="Z203" s="22"/>
      <c r="AA203" s="22"/>
      <c r="AB203" s="22"/>
      <c r="AC203" s="22"/>
    </row>
    <row r="204" spans="1:29" ht="14.45" customHeight="1" x14ac:dyDescent="0.25">
      <c r="A204" s="20">
        <v>292</v>
      </c>
      <c r="B204" s="20" t="s">
        <v>9</v>
      </c>
      <c r="C204" s="22">
        <v>6</v>
      </c>
      <c r="D204" s="20" t="s">
        <v>13</v>
      </c>
      <c r="E204" s="21">
        <v>46182</v>
      </c>
      <c r="F204" s="20" t="s">
        <v>1134</v>
      </c>
      <c r="G204" s="22" t="s">
        <v>71</v>
      </c>
      <c r="H204" s="32" t="s">
        <v>1135</v>
      </c>
      <c r="I204" s="22" t="s">
        <v>1136</v>
      </c>
      <c r="J204" s="23">
        <v>8600</v>
      </c>
      <c r="K204" s="23">
        <v>8700</v>
      </c>
      <c r="L204" s="23">
        <v>7709</v>
      </c>
      <c r="M204" s="23">
        <v>991</v>
      </c>
      <c r="N204" s="24">
        <f t="shared" si="6"/>
        <v>0.88609195402298846</v>
      </c>
      <c r="O204" s="21">
        <v>46157</v>
      </c>
      <c r="P204" s="22" t="s">
        <v>1137</v>
      </c>
      <c r="Q204" s="22" t="s">
        <v>19</v>
      </c>
      <c r="R204" s="20" t="s">
        <v>23</v>
      </c>
      <c r="S204" s="22" t="s">
        <v>11</v>
      </c>
      <c r="T204" s="22" t="s">
        <v>74</v>
      </c>
      <c r="U204" s="22" t="s">
        <v>82</v>
      </c>
      <c r="V204" s="22"/>
      <c r="W204" s="22"/>
      <c r="X204" s="22" t="s">
        <v>889</v>
      </c>
      <c r="Y204" s="20" t="s">
        <v>122</v>
      </c>
      <c r="Z204" s="22"/>
      <c r="AA204" s="22"/>
      <c r="AB204" s="22"/>
      <c r="AC204" s="22"/>
    </row>
    <row r="205" spans="1:29" s="25" customFormat="1" ht="14.45" customHeight="1" x14ac:dyDescent="0.25">
      <c r="A205" s="20">
        <v>293</v>
      </c>
      <c r="B205" s="20" t="s">
        <v>9</v>
      </c>
      <c r="C205" s="22">
        <v>6</v>
      </c>
      <c r="D205" s="20" t="s">
        <v>13</v>
      </c>
      <c r="E205" s="21">
        <v>46183</v>
      </c>
      <c r="F205" s="20" t="s">
        <v>1138</v>
      </c>
      <c r="G205" s="22" t="s">
        <v>54</v>
      </c>
      <c r="H205" s="32" t="s">
        <v>1139</v>
      </c>
      <c r="I205" s="22" t="s">
        <v>1140</v>
      </c>
      <c r="J205" s="23">
        <v>34000</v>
      </c>
      <c r="K205" s="23">
        <v>13000</v>
      </c>
      <c r="L205" s="23">
        <v>13000</v>
      </c>
      <c r="M205" s="23">
        <v>0</v>
      </c>
      <c r="N205" s="24">
        <f t="shared" si="6"/>
        <v>1</v>
      </c>
      <c r="O205" s="21">
        <v>46156</v>
      </c>
      <c r="P205" s="22" t="s">
        <v>1141</v>
      </c>
      <c r="Q205" s="22" t="s">
        <v>24</v>
      </c>
      <c r="R205" s="20" t="s">
        <v>26</v>
      </c>
      <c r="S205" s="22" t="s">
        <v>11</v>
      </c>
      <c r="T205" s="22" t="s">
        <v>17</v>
      </c>
      <c r="U205" s="22" t="s">
        <v>82</v>
      </c>
      <c r="V205" s="22"/>
      <c r="W205" s="22"/>
      <c r="X205" s="22" t="s">
        <v>889</v>
      </c>
      <c r="Y205" s="20" t="s">
        <v>122</v>
      </c>
      <c r="Z205" s="22"/>
      <c r="AA205" s="22"/>
      <c r="AB205" s="22"/>
      <c r="AC205" s="22"/>
    </row>
    <row r="206" spans="1:29" ht="14.45" customHeight="1" x14ac:dyDescent="0.25">
      <c r="A206" s="9"/>
      <c r="B206" s="9" t="s">
        <v>4</v>
      </c>
      <c r="C206" s="11">
        <v>1</v>
      </c>
      <c r="D206" s="10" t="s">
        <v>13</v>
      </c>
      <c r="E206" s="10">
        <v>46039</v>
      </c>
      <c r="F206" s="9">
        <v>21661</v>
      </c>
      <c r="G206" s="11" t="s">
        <v>61</v>
      </c>
      <c r="H206" s="15">
        <v>4413001400846</v>
      </c>
      <c r="I206" s="18" t="s">
        <v>1150</v>
      </c>
      <c r="J206" s="2">
        <v>238100</v>
      </c>
      <c r="K206" s="2">
        <v>49400</v>
      </c>
      <c r="L206" s="2">
        <v>36100</v>
      </c>
      <c r="M206" s="2">
        <v>13300</v>
      </c>
      <c r="N206" s="12">
        <f t="shared" si="6"/>
        <v>0.73076923076923073</v>
      </c>
      <c r="O206" s="10">
        <v>46027</v>
      </c>
      <c r="P206" s="11" t="s">
        <v>1151</v>
      </c>
      <c r="Q206" s="7" t="s">
        <v>14</v>
      </c>
      <c r="R206" s="11" t="s">
        <v>26</v>
      </c>
      <c r="S206" s="11"/>
      <c r="T206" s="28" t="s">
        <v>12</v>
      </c>
      <c r="U206" s="11"/>
      <c r="V206" s="11"/>
      <c r="W206" s="11"/>
      <c r="X206" s="9"/>
      <c r="Y206" s="11"/>
      <c r="Z206" s="11"/>
      <c r="AA206" s="11"/>
      <c r="AB206" s="11"/>
    </row>
    <row r="207" spans="1:29" ht="14.45" customHeight="1" x14ac:dyDescent="0.25">
      <c r="A207" s="9"/>
      <c r="B207" s="9" t="s">
        <v>4</v>
      </c>
      <c r="C207" s="11">
        <v>1</v>
      </c>
      <c r="D207" s="9" t="s">
        <v>13</v>
      </c>
      <c r="E207" s="10">
        <v>46041</v>
      </c>
      <c r="F207" s="9">
        <v>21710</v>
      </c>
      <c r="G207" s="7" t="s">
        <v>39</v>
      </c>
      <c r="H207" s="15">
        <v>4093150704278</v>
      </c>
      <c r="I207" s="18" t="s">
        <v>1152</v>
      </c>
      <c r="J207" s="2">
        <v>7000</v>
      </c>
      <c r="K207" s="2">
        <v>6650</v>
      </c>
      <c r="L207" s="2">
        <v>2300</v>
      </c>
      <c r="M207" s="2">
        <v>4350</v>
      </c>
      <c r="N207" s="12">
        <f t="shared" si="6"/>
        <v>0.34586466165413532</v>
      </c>
      <c r="O207" s="10">
        <v>46034</v>
      </c>
      <c r="P207" s="11" t="s">
        <v>1153</v>
      </c>
      <c r="Q207" s="7" t="s">
        <v>14</v>
      </c>
      <c r="R207" s="11" t="s">
        <v>26</v>
      </c>
      <c r="S207" s="11"/>
      <c r="T207" s="28" t="s">
        <v>12</v>
      </c>
      <c r="U207" s="11"/>
      <c r="V207" s="11"/>
      <c r="W207" s="9"/>
      <c r="X207" s="11"/>
      <c r="Y207" s="11"/>
      <c r="Z207" s="11"/>
      <c r="AA207" s="11"/>
    </row>
    <row r="208" spans="1:29" s="46" customFormat="1" ht="14.45" customHeight="1" x14ac:dyDescent="0.25">
      <c r="A208" s="41">
        <v>211</v>
      </c>
      <c r="B208" s="41" t="s">
        <v>7</v>
      </c>
      <c r="C208" s="43">
        <v>4</v>
      </c>
      <c r="D208" s="41" t="s">
        <v>13</v>
      </c>
      <c r="E208" s="42">
        <v>46115</v>
      </c>
      <c r="F208" s="41" t="s">
        <v>818</v>
      </c>
      <c r="G208" s="7" t="s">
        <v>39</v>
      </c>
      <c r="H208" s="43">
        <v>50704191</v>
      </c>
      <c r="I208" s="43" t="s">
        <v>1162</v>
      </c>
      <c r="J208" s="44">
        <v>15000</v>
      </c>
      <c r="K208" s="44">
        <v>15750</v>
      </c>
      <c r="L208" s="44">
        <v>10800</v>
      </c>
      <c r="M208" s="44">
        <v>4950</v>
      </c>
      <c r="N208" s="45">
        <f t="shared" si="6"/>
        <v>0.68571428571428572</v>
      </c>
      <c r="O208" s="42">
        <v>46097</v>
      </c>
      <c r="P208" s="43" t="s">
        <v>1165</v>
      </c>
      <c r="Q208" s="43" t="s">
        <v>24</v>
      </c>
      <c r="R208" s="41" t="s">
        <v>26</v>
      </c>
      <c r="S208" s="43" t="s">
        <v>75</v>
      </c>
      <c r="T208" s="11" t="s">
        <v>17</v>
      </c>
      <c r="U208" s="43"/>
      <c r="V208" s="43"/>
      <c r="W208" s="43"/>
      <c r="X208" s="43"/>
      <c r="Y208" s="41"/>
      <c r="Z208" s="43"/>
      <c r="AA208" s="43"/>
      <c r="AB208" s="43"/>
      <c r="AC208" s="43"/>
    </row>
    <row r="209" spans="1:29" s="46" customFormat="1" ht="14.45" customHeight="1" x14ac:dyDescent="0.25">
      <c r="A209" s="41">
        <v>211</v>
      </c>
      <c r="B209" s="41" t="s">
        <v>7</v>
      </c>
      <c r="C209" s="43">
        <v>4</v>
      </c>
      <c r="D209" s="41" t="s">
        <v>13</v>
      </c>
      <c r="E209" s="42">
        <v>46120</v>
      </c>
      <c r="F209" s="41" t="s">
        <v>818</v>
      </c>
      <c r="G209" s="7" t="s">
        <v>39</v>
      </c>
      <c r="H209" s="43">
        <v>50704212</v>
      </c>
      <c r="I209" s="43" t="s">
        <v>1163</v>
      </c>
      <c r="J209" s="44">
        <v>25000</v>
      </c>
      <c r="K209" s="44">
        <v>25150</v>
      </c>
      <c r="L209" s="44">
        <v>15300</v>
      </c>
      <c r="M209" s="44">
        <v>9850</v>
      </c>
      <c r="N209" s="45">
        <f t="shared" si="6"/>
        <v>0.60834990059642147</v>
      </c>
      <c r="O209" s="42">
        <v>46097</v>
      </c>
      <c r="P209" s="43" t="s">
        <v>1166</v>
      </c>
      <c r="Q209" s="43" t="s">
        <v>24</v>
      </c>
      <c r="R209" s="41" t="s">
        <v>26</v>
      </c>
      <c r="S209" s="43" t="s">
        <v>75</v>
      </c>
      <c r="T209" s="43" t="s">
        <v>17</v>
      </c>
      <c r="U209" s="43"/>
      <c r="V209" s="43"/>
      <c r="W209" s="43"/>
      <c r="X209" s="43"/>
      <c r="Y209" s="41"/>
      <c r="Z209" s="43"/>
      <c r="AA209" s="43"/>
      <c r="AB209" s="43"/>
      <c r="AC209" s="43"/>
    </row>
    <row r="210" spans="1:29" s="25" customFormat="1" ht="14.45" customHeight="1" x14ac:dyDescent="0.25">
      <c r="A210" s="26">
        <v>211</v>
      </c>
      <c r="B210" s="26" t="s">
        <v>7</v>
      </c>
      <c r="C210" s="28">
        <v>4</v>
      </c>
      <c r="D210" s="26" t="s">
        <v>13</v>
      </c>
      <c r="E210" s="27">
        <v>46121</v>
      </c>
      <c r="F210" s="26" t="s">
        <v>818</v>
      </c>
      <c r="G210" s="7" t="s">
        <v>39</v>
      </c>
      <c r="H210" s="33">
        <v>4093150704172</v>
      </c>
      <c r="I210" s="28" t="s">
        <v>819</v>
      </c>
      <c r="J210" s="29">
        <v>7000</v>
      </c>
      <c r="K210" s="29">
        <v>9000</v>
      </c>
      <c r="L210" s="29">
        <v>4500</v>
      </c>
      <c r="M210" s="29">
        <v>4500</v>
      </c>
      <c r="N210" s="30">
        <f t="shared" si="6"/>
        <v>0.5</v>
      </c>
      <c r="O210" s="27">
        <v>46097</v>
      </c>
      <c r="P210" s="28" t="s">
        <v>820</v>
      </c>
      <c r="Q210" s="28" t="s">
        <v>24</v>
      </c>
      <c r="R210" s="26" t="s">
        <v>26</v>
      </c>
      <c r="S210" s="28" t="s">
        <v>75</v>
      </c>
      <c r="T210" s="43" t="s">
        <v>17</v>
      </c>
      <c r="U210" s="28"/>
      <c r="V210" s="28"/>
      <c r="W210" s="28"/>
      <c r="X210" s="28"/>
      <c r="Y210" s="26"/>
      <c r="Z210" s="28"/>
      <c r="AA210" s="28"/>
      <c r="AB210" s="28"/>
      <c r="AC210" s="28"/>
    </row>
    <row r="211" spans="1:29" s="46" customFormat="1" ht="14.45" customHeight="1" x14ac:dyDescent="0.25">
      <c r="A211" s="41">
        <v>210</v>
      </c>
      <c r="B211" s="48" t="s">
        <v>7</v>
      </c>
      <c r="C211" s="43">
        <v>4</v>
      </c>
      <c r="D211" s="41" t="s">
        <v>13</v>
      </c>
      <c r="E211" s="42">
        <v>46114</v>
      </c>
      <c r="F211" s="41" t="s">
        <v>814</v>
      </c>
      <c r="G211" s="7" t="s">
        <v>39</v>
      </c>
      <c r="H211" s="49">
        <v>4093250704073</v>
      </c>
      <c r="I211" s="43" t="s">
        <v>815</v>
      </c>
      <c r="J211" s="44">
        <v>6000</v>
      </c>
      <c r="K211" s="44">
        <v>6000</v>
      </c>
      <c r="L211" s="44">
        <v>4250</v>
      </c>
      <c r="M211" s="44">
        <v>1750</v>
      </c>
      <c r="N211" s="45">
        <f t="shared" si="6"/>
        <v>0.70833333333333337</v>
      </c>
      <c r="O211" s="42">
        <v>46098</v>
      </c>
      <c r="P211" s="43" t="s">
        <v>816</v>
      </c>
      <c r="Q211" s="43" t="s">
        <v>19</v>
      </c>
      <c r="R211" s="41" t="s">
        <v>23</v>
      </c>
      <c r="S211" s="43" t="s">
        <v>77</v>
      </c>
      <c r="T211" s="43" t="s">
        <v>12</v>
      </c>
      <c r="U211" s="43" t="s">
        <v>84</v>
      </c>
      <c r="V211" s="43" t="s">
        <v>817</v>
      </c>
      <c r="W211" s="43" t="s">
        <v>813</v>
      </c>
      <c r="X211" s="43" t="s">
        <v>454</v>
      </c>
      <c r="Y211" s="41" t="s">
        <v>122</v>
      </c>
      <c r="Z211" s="43"/>
      <c r="AA211" s="43"/>
      <c r="AB211" s="43"/>
      <c r="AC211" s="43"/>
    </row>
    <row r="212" spans="1:29" s="46" customFormat="1" ht="14.45" customHeight="1" x14ac:dyDescent="0.25">
      <c r="A212" s="48">
        <v>209</v>
      </c>
      <c r="B212" s="50" t="s">
        <v>7</v>
      </c>
      <c r="C212" s="43">
        <v>4</v>
      </c>
      <c r="D212" s="48" t="s">
        <v>13</v>
      </c>
      <c r="E212" s="51">
        <v>46113</v>
      </c>
      <c r="F212" s="48" t="s">
        <v>811</v>
      </c>
      <c r="G212" s="52" t="s">
        <v>66</v>
      </c>
      <c r="H212" s="49">
        <v>4648001040288</v>
      </c>
      <c r="I212" s="52" t="s">
        <v>812</v>
      </c>
      <c r="J212" s="53">
        <v>18855</v>
      </c>
      <c r="K212" s="53">
        <v>28500</v>
      </c>
      <c r="L212" s="53">
        <v>18855</v>
      </c>
      <c r="M212" s="44">
        <v>9645</v>
      </c>
      <c r="N212" s="54">
        <f t="shared" si="6"/>
        <v>0.66157894736842104</v>
      </c>
      <c r="O212" s="51">
        <v>46099</v>
      </c>
      <c r="P212" s="52" t="s">
        <v>639</v>
      </c>
      <c r="Q212" s="52" t="s">
        <v>19</v>
      </c>
      <c r="R212" s="48" t="s">
        <v>23</v>
      </c>
      <c r="S212" s="52" t="s">
        <v>77</v>
      </c>
      <c r="T212" s="52" t="s">
        <v>12</v>
      </c>
      <c r="U212" s="52" t="s">
        <v>83</v>
      </c>
      <c r="V212" s="52" t="s">
        <v>778</v>
      </c>
      <c r="W212" s="52" t="s">
        <v>813</v>
      </c>
      <c r="X212" s="52" t="s">
        <v>454</v>
      </c>
      <c r="Y212" s="48" t="s">
        <v>122</v>
      </c>
      <c r="Z212" s="52"/>
      <c r="AA212" s="52"/>
      <c r="AB212" s="52"/>
      <c r="AC212" s="52"/>
    </row>
    <row r="213" spans="1:29" s="25" customFormat="1" ht="14.45" customHeight="1" x14ac:dyDescent="0.25">
      <c r="A213" s="26">
        <v>212</v>
      </c>
      <c r="B213" s="26" t="s">
        <v>7</v>
      </c>
      <c r="C213" s="28">
        <v>4</v>
      </c>
      <c r="D213" s="26" t="s">
        <v>13</v>
      </c>
      <c r="E213" s="27">
        <v>46116</v>
      </c>
      <c r="F213" s="26" t="s">
        <v>821</v>
      </c>
      <c r="G213" s="28" t="s">
        <v>822</v>
      </c>
      <c r="H213" s="33">
        <v>4217001550736</v>
      </c>
      <c r="I213" s="28" t="s">
        <v>823</v>
      </c>
      <c r="J213" s="29">
        <v>100000</v>
      </c>
      <c r="K213" s="29">
        <v>57000</v>
      </c>
      <c r="L213" s="29">
        <v>45000</v>
      </c>
      <c r="M213" s="29">
        <v>12000</v>
      </c>
      <c r="N213" s="30">
        <f t="shared" si="6"/>
        <v>0.78947368421052633</v>
      </c>
      <c r="O213" s="27">
        <v>46099</v>
      </c>
      <c r="P213" s="28" t="s">
        <v>824</v>
      </c>
      <c r="Q213" s="28" t="s">
        <v>19</v>
      </c>
      <c r="R213" s="26" t="s">
        <v>23</v>
      </c>
      <c r="S213" s="28" t="s">
        <v>75</v>
      </c>
      <c r="T213" s="28" t="s">
        <v>12</v>
      </c>
      <c r="U213" s="28" t="s">
        <v>84</v>
      </c>
      <c r="V213" s="28" t="s">
        <v>782</v>
      </c>
      <c r="W213" s="28" t="s">
        <v>813</v>
      </c>
      <c r="X213" s="28" t="s">
        <v>454</v>
      </c>
      <c r="Y213" s="26" t="s">
        <v>122</v>
      </c>
      <c r="Z213" s="28"/>
      <c r="AA213" s="28"/>
      <c r="AB213" s="28"/>
      <c r="AC213" s="28"/>
    </row>
    <row r="214" spans="1:29" s="25" customFormat="1" ht="14.45" customHeight="1" x14ac:dyDescent="0.25">
      <c r="A214" s="20">
        <v>225</v>
      </c>
      <c r="B214" s="20" t="s">
        <v>7</v>
      </c>
      <c r="C214" s="22">
        <v>4</v>
      </c>
      <c r="D214" s="20" t="s">
        <v>13</v>
      </c>
      <c r="E214" s="27">
        <v>46135</v>
      </c>
      <c r="F214" s="20" t="s">
        <v>867</v>
      </c>
      <c r="G214" s="22" t="s">
        <v>1217</v>
      </c>
      <c r="H214" s="22" t="s">
        <v>868</v>
      </c>
      <c r="I214" s="22" t="s">
        <v>869</v>
      </c>
      <c r="J214" s="23">
        <v>54000</v>
      </c>
      <c r="K214" s="23">
        <v>56700</v>
      </c>
      <c r="L214" s="23">
        <v>44950</v>
      </c>
      <c r="M214" s="23">
        <v>11750</v>
      </c>
      <c r="N214" s="24">
        <f t="shared" si="6"/>
        <v>0.79276895943562609</v>
      </c>
      <c r="O214" s="21">
        <v>46100</v>
      </c>
      <c r="P214" s="22" t="s">
        <v>870</v>
      </c>
      <c r="Q214" s="22" t="s">
        <v>31</v>
      </c>
      <c r="R214" s="20" t="s">
        <v>23</v>
      </c>
      <c r="S214" s="22" t="s">
        <v>11</v>
      </c>
      <c r="T214" s="22" t="s">
        <v>1238</v>
      </c>
      <c r="U214" s="22" t="s">
        <v>871</v>
      </c>
      <c r="V214" s="22" t="s">
        <v>872</v>
      </c>
      <c r="W214" s="22" t="s">
        <v>813</v>
      </c>
      <c r="X214" s="22" t="s">
        <v>866</v>
      </c>
      <c r="Y214" s="20" t="s">
        <v>122</v>
      </c>
      <c r="Z214" s="22"/>
      <c r="AA214" s="22"/>
      <c r="AB214" s="22"/>
      <c r="AC214" s="22"/>
    </row>
    <row r="215" spans="1:29" s="25" customFormat="1" ht="14.45" customHeight="1" x14ac:dyDescent="0.25">
      <c r="A215" s="26">
        <v>224</v>
      </c>
      <c r="B215" s="26" t="s">
        <v>7</v>
      </c>
      <c r="C215" s="28">
        <v>4</v>
      </c>
      <c r="D215" s="26" t="s">
        <v>13</v>
      </c>
      <c r="E215" s="27">
        <v>46135</v>
      </c>
      <c r="F215" s="26" t="s">
        <v>863</v>
      </c>
      <c r="G215" s="28" t="s">
        <v>54</v>
      </c>
      <c r="H215" s="28" t="s">
        <v>864</v>
      </c>
      <c r="I215" s="28" t="s">
        <v>865</v>
      </c>
      <c r="J215" s="29">
        <v>10000</v>
      </c>
      <c r="K215" s="29">
        <v>14400</v>
      </c>
      <c r="L215" s="29">
        <v>4000</v>
      </c>
      <c r="M215" s="29">
        <v>10400</v>
      </c>
      <c r="N215" s="30">
        <f t="shared" si="6"/>
        <v>0.27777777777777779</v>
      </c>
      <c r="O215" s="27">
        <v>46107</v>
      </c>
      <c r="P215" s="28" t="s">
        <v>639</v>
      </c>
      <c r="Q215" s="28" t="s">
        <v>19</v>
      </c>
      <c r="R215" s="26" t="s">
        <v>23</v>
      </c>
      <c r="S215" s="28" t="s">
        <v>11</v>
      </c>
      <c r="T215" s="28" t="s">
        <v>12</v>
      </c>
      <c r="U215" s="28" t="s">
        <v>83</v>
      </c>
      <c r="V215" s="28" t="s">
        <v>778</v>
      </c>
      <c r="W215" s="28" t="s">
        <v>813</v>
      </c>
      <c r="X215" s="28" t="s">
        <v>866</v>
      </c>
      <c r="Y215" s="26" t="s">
        <v>122</v>
      </c>
      <c r="Z215" s="28"/>
      <c r="AA215" s="28"/>
      <c r="AB215" s="28"/>
      <c r="AC215" s="28"/>
    </row>
    <row r="216" spans="1:29" s="46" customFormat="1" ht="14.45" customHeight="1" x14ac:dyDescent="0.25">
      <c r="A216" s="41"/>
      <c r="B216" s="41" t="s">
        <v>7</v>
      </c>
      <c r="C216" s="43">
        <v>4</v>
      </c>
      <c r="D216" s="41" t="s">
        <v>13</v>
      </c>
      <c r="E216" s="42">
        <v>46125</v>
      </c>
      <c r="F216" s="41" t="s">
        <v>821</v>
      </c>
      <c r="G216" s="43" t="s">
        <v>822</v>
      </c>
      <c r="H216" s="47">
        <v>550677</v>
      </c>
      <c r="I216" s="43" t="s">
        <v>1167</v>
      </c>
      <c r="J216" s="44">
        <v>150000</v>
      </c>
      <c r="K216" s="44">
        <v>46500</v>
      </c>
      <c r="L216" s="44">
        <v>36500</v>
      </c>
      <c r="M216" s="44">
        <v>10000</v>
      </c>
      <c r="N216" s="45">
        <f t="shared" si="6"/>
        <v>0.78494623655913975</v>
      </c>
      <c r="O216" s="42">
        <v>46107</v>
      </c>
      <c r="P216" s="43" t="s">
        <v>824</v>
      </c>
      <c r="Q216" s="43" t="s">
        <v>19</v>
      </c>
      <c r="R216" s="41" t="s">
        <v>23</v>
      </c>
      <c r="S216" s="43"/>
      <c r="T216" s="43" t="s">
        <v>12</v>
      </c>
      <c r="U216" s="43"/>
      <c r="V216" s="43"/>
      <c r="W216" s="43"/>
      <c r="X216" s="43"/>
      <c r="Y216" s="41"/>
      <c r="Z216" s="43"/>
      <c r="AA216" s="43"/>
      <c r="AB216" s="43"/>
      <c r="AC216" s="43"/>
    </row>
    <row r="217" spans="1:29" s="46" customFormat="1" ht="14.45" customHeight="1" x14ac:dyDescent="0.25">
      <c r="A217" s="41"/>
      <c r="B217" s="41" t="s">
        <v>7</v>
      </c>
      <c r="C217" s="43">
        <v>4</v>
      </c>
      <c r="D217" s="41" t="s">
        <v>13</v>
      </c>
      <c r="E217" s="42">
        <v>46126</v>
      </c>
      <c r="F217" s="41" t="s">
        <v>821</v>
      </c>
      <c r="G217" s="43" t="s">
        <v>822</v>
      </c>
      <c r="H217" s="47">
        <v>550676</v>
      </c>
      <c r="I217" s="43" t="s">
        <v>1168</v>
      </c>
      <c r="J217" s="44">
        <v>200000</v>
      </c>
      <c r="K217" s="44">
        <v>43000</v>
      </c>
      <c r="L217" s="44">
        <v>35500</v>
      </c>
      <c r="M217" s="44">
        <v>7500</v>
      </c>
      <c r="N217" s="45">
        <f t="shared" si="6"/>
        <v>0.82558139534883723</v>
      </c>
      <c r="O217" s="42">
        <v>46107</v>
      </c>
      <c r="P217" s="43" t="s">
        <v>824</v>
      </c>
      <c r="Q217" s="43" t="s">
        <v>19</v>
      </c>
      <c r="R217" s="41" t="s">
        <v>23</v>
      </c>
      <c r="S217" s="43"/>
      <c r="T217" s="43" t="s">
        <v>12</v>
      </c>
      <c r="U217" s="43"/>
      <c r="V217" s="43"/>
      <c r="W217" s="43"/>
      <c r="X217" s="43"/>
      <c r="Y217" s="41"/>
      <c r="Z217" s="43"/>
      <c r="AA217" s="43"/>
      <c r="AB217" s="43"/>
      <c r="AC217" s="43"/>
    </row>
    <row r="218" spans="1:29" s="46" customFormat="1" ht="14.45" customHeight="1" x14ac:dyDescent="0.25">
      <c r="A218" s="41"/>
      <c r="B218" s="41" t="s">
        <v>7</v>
      </c>
      <c r="C218" s="43">
        <v>4</v>
      </c>
      <c r="D218" s="41" t="s">
        <v>13</v>
      </c>
      <c r="E218" s="42">
        <v>46139</v>
      </c>
      <c r="F218" s="41" t="s">
        <v>867</v>
      </c>
      <c r="G218" s="22" t="s">
        <v>1217</v>
      </c>
      <c r="H218" s="47">
        <v>1005316</v>
      </c>
      <c r="I218" s="43" t="s">
        <v>1169</v>
      </c>
      <c r="J218" s="44">
        <v>18000</v>
      </c>
      <c r="K218" s="44">
        <v>18900</v>
      </c>
      <c r="L218" s="44">
        <v>17122</v>
      </c>
      <c r="M218" s="44">
        <v>1778</v>
      </c>
      <c r="N218" s="45">
        <f t="shared" si="6"/>
        <v>0.90592592592592591</v>
      </c>
      <c r="O218" s="42">
        <v>46100</v>
      </c>
      <c r="P218" s="43" t="s">
        <v>1170</v>
      </c>
      <c r="Q218" s="43" t="s">
        <v>40</v>
      </c>
      <c r="R218" s="41" t="s">
        <v>26</v>
      </c>
      <c r="S218" s="43"/>
      <c r="T218" s="22" t="s">
        <v>1238</v>
      </c>
      <c r="U218" s="43"/>
      <c r="V218" s="43"/>
      <c r="W218" s="43"/>
      <c r="X218" s="43"/>
      <c r="Y218" s="41"/>
      <c r="Z218" s="43"/>
      <c r="AA218" s="43"/>
      <c r="AB218" s="43"/>
      <c r="AC218" s="43"/>
    </row>
    <row r="219" spans="1:29" s="46" customFormat="1" ht="14.45" customHeight="1" x14ac:dyDescent="0.25">
      <c r="A219" s="41"/>
      <c r="B219" s="41" t="s">
        <v>7</v>
      </c>
      <c r="C219" s="43">
        <v>4</v>
      </c>
      <c r="D219" s="41" t="s">
        <v>13</v>
      </c>
      <c r="E219" s="42">
        <v>46128</v>
      </c>
      <c r="F219" s="41">
        <v>22108</v>
      </c>
      <c r="G219" s="43" t="s">
        <v>1172</v>
      </c>
      <c r="H219" s="47">
        <v>1001032</v>
      </c>
      <c r="I219" s="43" t="s">
        <v>1171</v>
      </c>
      <c r="J219" s="44">
        <v>5000</v>
      </c>
      <c r="K219" s="44">
        <v>5000</v>
      </c>
      <c r="L219" s="44">
        <v>3500</v>
      </c>
      <c r="M219" s="44">
        <v>1500</v>
      </c>
      <c r="N219" s="45">
        <f t="shared" si="6"/>
        <v>0.7</v>
      </c>
      <c r="O219" s="42">
        <v>46107</v>
      </c>
      <c r="P219" s="43" t="s">
        <v>1173</v>
      </c>
      <c r="Q219" s="43" t="s">
        <v>21</v>
      </c>
      <c r="R219" s="41" t="s">
        <v>26</v>
      </c>
      <c r="S219" s="43"/>
      <c r="T219" s="43" t="s">
        <v>1235</v>
      </c>
      <c r="U219" s="43"/>
      <c r="V219" s="43"/>
      <c r="W219" s="43"/>
      <c r="X219" s="43"/>
      <c r="Y219" s="41"/>
      <c r="Z219" s="43"/>
      <c r="AA219" s="43"/>
      <c r="AB219" s="43"/>
      <c r="AC219" s="43"/>
    </row>
    <row r="220" spans="1:29" s="46" customFormat="1" ht="14.45" customHeight="1" x14ac:dyDescent="0.25">
      <c r="A220" s="41"/>
      <c r="B220" s="41" t="s">
        <v>7</v>
      </c>
      <c r="C220" s="43">
        <v>4</v>
      </c>
      <c r="D220" s="41" t="s">
        <v>13</v>
      </c>
      <c r="E220" s="42">
        <v>46134</v>
      </c>
      <c r="F220" s="41">
        <v>22125</v>
      </c>
      <c r="G220" s="43" t="s">
        <v>1174</v>
      </c>
      <c r="H220" s="47">
        <v>39657657</v>
      </c>
      <c r="I220" s="43" t="s">
        <v>1175</v>
      </c>
      <c r="J220" s="44">
        <v>22000</v>
      </c>
      <c r="K220" s="44">
        <v>25000</v>
      </c>
      <c r="L220" s="44">
        <v>22000</v>
      </c>
      <c r="M220" s="44">
        <v>3000</v>
      </c>
      <c r="N220" s="45">
        <f t="shared" si="6"/>
        <v>0.88</v>
      </c>
      <c r="O220" s="42">
        <v>46107</v>
      </c>
      <c r="P220" s="43" t="s">
        <v>1186</v>
      </c>
      <c r="Q220" s="43" t="s">
        <v>1146</v>
      </c>
      <c r="R220" s="41" t="s">
        <v>23</v>
      </c>
      <c r="S220" s="43"/>
      <c r="T220" s="28" t="s">
        <v>17</v>
      </c>
      <c r="U220" s="43"/>
      <c r="V220" s="43"/>
      <c r="W220" s="43"/>
      <c r="X220" s="43"/>
      <c r="Y220" s="41"/>
      <c r="Z220" s="43"/>
      <c r="AA220" s="43"/>
      <c r="AB220" s="43"/>
      <c r="AC220" s="43"/>
    </row>
    <row r="221" spans="1:29" s="46" customFormat="1" ht="14.45" customHeight="1" x14ac:dyDescent="0.25">
      <c r="A221" s="41"/>
      <c r="B221" s="41" t="s">
        <v>7</v>
      </c>
      <c r="C221" s="43">
        <v>4</v>
      </c>
      <c r="D221" s="41" t="s">
        <v>13</v>
      </c>
      <c r="E221" s="42">
        <v>46135</v>
      </c>
      <c r="F221" s="41">
        <v>22130</v>
      </c>
      <c r="G221" s="43" t="s">
        <v>1174</v>
      </c>
      <c r="H221" s="47">
        <v>4002001964918</v>
      </c>
      <c r="I221" s="43" t="s">
        <v>1176</v>
      </c>
      <c r="J221" s="44">
        <v>5000</v>
      </c>
      <c r="K221" s="44">
        <v>5600</v>
      </c>
      <c r="L221" s="44">
        <v>5200</v>
      </c>
      <c r="M221" s="44">
        <v>400</v>
      </c>
      <c r="N221" s="45">
        <f t="shared" si="6"/>
        <v>0.9285714285714286</v>
      </c>
      <c r="O221" s="42">
        <v>46108</v>
      </c>
      <c r="P221" s="43" t="s">
        <v>1187</v>
      </c>
      <c r="Q221" s="43" t="s">
        <v>27</v>
      </c>
      <c r="R221" s="41" t="s">
        <v>26</v>
      </c>
      <c r="S221" s="43"/>
      <c r="T221" s="28" t="s">
        <v>12</v>
      </c>
      <c r="U221" s="43"/>
      <c r="V221" s="43"/>
      <c r="W221" s="43"/>
      <c r="X221" s="43"/>
      <c r="Y221" s="41"/>
      <c r="Z221" s="43"/>
      <c r="AA221" s="43"/>
      <c r="AB221" s="43"/>
      <c r="AC221" s="43"/>
    </row>
    <row r="222" spans="1:29" s="46" customFormat="1" ht="14.45" customHeight="1" x14ac:dyDescent="0.25">
      <c r="A222" s="41"/>
      <c r="B222" s="41" t="s">
        <v>7</v>
      </c>
      <c r="C222" s="43">
        <v>4</v>
      </c>
      <c r="D222" s="41" t="s">
        <v>13</v>
      </c>
      <c r="E222" s="42">
        <v>46129</v>
      </c>
      <c r="F222" s="41">
        <v>22145</v>
      </c>
      <c r="G222" s="43" t="s">
        <v>1177</v>
      </c>
      <c r="H222" s="47">
        <v>4000243</v>
      </c>
      <c r="I222" s="43" t="s">
        <v>435</v>
      </c>
      <c r="J222" s="44">
        <v>150000</v>
      </c>
      <c r="K222" s="44">
        <v>20800</v>
      </c>
      <c r="L222" s="44">
        <v>11600</v>
      </c>
      <c r="M222" s="44">
        <v>9200</v>
      </c>
      <c r="N222" s="45">
        <f t="shared" si="6"/>
        <v>0.55769230769230771</v>
      </c>
      <c r="O222" s="42">
        <v>46112</v>
      </c>
      <c r="P222" s="43" t="s">
        <v>639</v>
      </c>
      <c r="Q222" s="43" t="s">
        <v>19</v>
      </c>
      <c r="R222" s="41" t="s">
        <v>23</v>
      </c>
      <c r="S222" s="43"/>
      <c r="T222" s="28" t="s">
        <v>12</v>
      </c>
      <c r="U222" s="43"/>
      <c r="V222" s="43"/>
      <c r="W222" s="43"/>
      <c r="X222" s="43"/>
      <c r="Y222" s="41"/>
      <c r="Z222" s="43"/>
      <c r="AA222" s="43"/>
      <c r="AB222" s="43"/>
      <c r="AC222" s="43"/>
    </row>
    <row r="223" spans="1:29" s="46" customFormat="1" ht="14.45" customHeight="1" x14ac:dyDescent="0.25">
      <c r="A223" s="41"/>
      <c r="B223" s="41" t="s">
        <v>7</v>
      </c>
      <c r="C223" s="43">
        <v>4</v>
      </c>
      <c r="D223" s="41" t="s">
        <v>13</v>
      </c>
      <c r="E223" s="42">
        <v>46132</v>
      </c>
      <c r="F223" s="41">
        <v>22145</v>
      </c>
      <c r="G223" s="43" t="s">
        <v>1177</v>
      </c>
      <c r="H223" s="47">
        <v>4000247</v>
      </c>
      <c r="I223" s="43" t="s">
        <v>1178</v>
      </c>
      <c r="J223" s="44">
        <v>8000</v>
      </c>
      <c r="K223" s="44">
        <v>12400</v>
      </c>
      <c r="L223" s="44">
        <v>8000</v>
      </c>
      <c r="M223" s="44">
        <v>4400</v>
      </c>
      <c r="N223" s="45">
        <f t="shared" si="6"/>
        <v>0.64516129032258063</v>
      </c>
      <c r="O223" s="42">
        <v>46112</v>
      </c>
      <c r="P223" s="43" t="s">
        <v>1188</v>
      </c>
      <c r="Q223" s="43" t="s">
        <v>14</v>
      </c>
      <c r="R223" s="41" t="s">
        <v>26</v>
      </c>
      <c r="S223" s="43"/>
      <c r="T223" s="28" t="s">
        <v>12</v>
      </c>
      <c r="U223" s="43"/>
      <c r="V223" s="43"/>
      <c r="W223" s="43"/>
      <c r="X223" s="43"/>
      <c r="Y223" s="41"/>
      <c r="Z223" s="43"/>
      <c r="AA223" s="43"/>
      <c r="AB223" s="43"/>
      <c r="AC223" s="43"/>
    </row>
    <row r="224" spans="1:29" s="46" customFormat="1" ht="14.45" customHeight="1" x14ac:dyDescent="0.25">
      <c r="A224" s="41"/>
      <c r="B224" s="41" t="s">
        <v>7</v>
      </c>
      <c r="C224" s="43">
        <v>4</v>
      </c>
      <c r="D224" s="41" t="s">
        <v>13</v>
      </c>
      <c r="E224" s="42">
        <v>46140</v>
      </c>
      <c r="F224" s="41">
        <v>22145</v>
      </c>
      <c r="G224" s="43" t="s">
        <v>1177</v>
      </c>
      <c r="H224" s="47">
        <v>4000243</v>
      </c>
      <c r="I224" s="43" t="s">
        <v>435</v>
      </c>
      <c r="J224" s="44">
        <v>150000</v>
      </c>
      <c r="K224" s="44">
        <v>39200</v>
      </c>
      <c r="L224" s="44">
        <v>34800</v>
      </c>
      <c r="M224" s="44">
        <v>4400</v>
      </c>
      <c r="N224" s="45">
        <f t="shared" si="6"/>
        <v>0.88775510204081631</v>
      </c>
      <c r="O224" s="42">
        <v>46112</v>
      </c>
      <c r="P224" s="43" t="s">
        <v>1189</v>
      </c>
      <c r="Q224" s="43" t="s">
        <v>19</v>
      </c>
      <c r="R224" s="41" t="s">
        <v>23</v>
      </c>
      <c r="S224" s="43"/>
      <c r="T224" s="28" t="s">
        <v>12</v>
      </c>
      <c r="U224" s="43"/>
      <c r="V224" s="43"/>
      <c r="W224" s="43"/>
      <c r="X224" s="43"/>
      <c r="Y224" s="41"/>
      <c r="Z224" s="43"/>
      <c r="AA224" s="43"/>
      <c r="AB224" s="43"/>
      <c r="AC224" s="43"/>
    </row>
    <row r="225" spans="1:29" s="46" customFormat="1" ht="14.45" customHeight="1" x14ac:dyDescent="0.25">
      <c r="A225" s="41"/>
      <c r="B225" s="41" t="s">
        <v>7</v>
      </c>
      <c r="C225" s="43">
        <v>4</v>
      </c>
      <c r="D225" s="41" t="s">
        <v>13</v>
      </c>
      <c r="E225" s="42">
        <v>46139</v>
      </c>
      <c r="F225" s="41">
        <v>22164</v>
      </c>
      <c r="G225" s="43" t="s">
        <v>1179</v>
      </c>
      <c r="H225" s="47">
        <v>125669</v>
      </c>
      <c r="I225" s="43" t="s">
        <v>1180</v>
      </c>
      <c r="J225" s="44">
        <v>5000</v>
      </c>
      <c r="K225" s="44">
        <v>5700</v>
      </c>
      <c r="L225" s="44">
        <v>3600</v>
      </c>
      <c r="M225" s="44">
        <v>2100</v>
      </c>
      <c r="N225" s="45">
        <f t="shared" si="6"/>
        <v>0.63157894736842102</v>
      </c>
      <c r="O225" s="42">
        <v>46118</v>
      </c>
      <c r="P225" s="43" t="s">
        <v>1190</v>
      </c>
      <c r="Q225" s="43" t="s">
        <v>19</v>
      </c>
      <c r="R225" s="41" t="s">
        <v>23</v>
      </c>
      <c r="S225" s="43"/>
      <c r="T225" s="28" t="s">
        <v>12</v>
      </c>
      <c r="U225" s="43"/>
      <c r="V225" s="43"/>
      <c r="W225" s="43"/>
      <c r="X225" s="43"/>
      <c r="Y225" s="41"/>
      <c r="Z225" s="43"/>
      <c r="AA225" s="43"/>
      <c r="AB225" s="43"/>
      <c r="AC225" s="43"/>
    </row>
    <row r="226" spans="1:29" s="46" customFormat="1" ht="14.45" customHeight="1" x14ac:dyDescent="0.25">
      <c r="A226" s="41"/>
      <c r="B226" s="41" t="s">
        <v>7</v>
      </c>
      <c r="C226" s="43">
        <v>4</v>
      </c>
      <c r="D226" s="41" t="s">
        <v>13</v>
      </c>
      <c r="E226" s="42">
        <v>46141</v>
      </c>
      <c r="F226" s="41">
        <v>22169</v>
      </c>
      <c r="G226" s="43" t="s">
        <v>1181</v>
      </c>
      <c r="H226" s="47">
        <v>1070038</v>
      </c>
      <c r="I226" s="43" t="s">
        <v>1182</v>
      </c>
      <c r="J226" s="44">
        <v>22000</v>
      </c>
      <c r="K226" s="44">
        <v>7087</v>
      </c>
      <c r="L226" s="44">
        <v>6750</v>
      </c>
      <c r="M226" s="44">
        <v>337</v>
      </c>
      <c r="N226" s="45">
        <f t="shared" si="6"/>
        <v>0.95244814448991111</v>
      </c>
      <c r="O226" s="42">
        <v>46119</v>
      </c>
      <c r="P226" s="43" t="s">
        <v>1191</v>
      </c>
      <c r="Q226" s="43" t="s">
        <v>14</v>
      </c>
      <c r="R226" s="41" t="s">
        <v>26</v>
      </c>
      <c r="S226" s="43"/>
      <c r="T226" s="28" t="s">
        <v>12</v>
      </c>
      <c r="U226" s="43"/>
      <c r="V226" s="43"/>
      <c r="W226" s="43"/>
      <c r="X226" s="43"/>
      <c r="Y226" s="41"/>
      <c r="Z226" s="43"/>
      <c r="AA226" s="43"/>
      <c r="AB226" s="43"/>
      <c r="AC226" s="43"/>
    </row>
    <row r="227" spans="1:29" s="46" customFormat="1" ht="14.45" customHeight="1" x14ac:dyDescent="0.25">
      <c r="A227" s="41"/>
      <c r="B227" s="41" t="s">
        <v>7</v>
      </c>
      <c r="C227" s="43">
        <v>4</v>
      </c>
      <c r="D227" s="41" t="s">
        <v>13</v>
      </c>
      <c r="E227" s="42">
        <v>46141</v>
      </c>
      <c r="F227" s="41">
        <v>22169</v>
      </c>
      <c r="G227" s="43" t="s">
        <v>1181</v>
      </c>
      <c r="H227" s="47">
        <v>1070045</v>
      </c>
      <c r="I227" s="43" t="s">
        <v>1183</v>
      </c>
      <c r="J227" s="44">
        <v>22000</v>
      </c>
      <c r="K227" s="44">
        <v>21750</v>
      </c>
      <c r="L227" s="44">
        <v>21750</v>
      </c>
      <c r="M227" s="44">
        <v>0</v>
      </c>
      <c r="N227" s="45">
        <f t="shared" ref="N227:N232" si="7">IFERROR(L227/K227,"")</f>
        <v>1</v>
      </c>
      <c r="O227" s="42">
        <v>46119</v>
      </c>
      <c r="P227" s="43" t="s">
        <v>1192</v>
      </c>
      <c r="Q227" s="43" t="s">
        <v>14</v>
      </c>
      <c r="R227" s="41" t="s">
        <v>26</v>
      </c>
      <c r="S227" s="43"/>
      <c r="T227" s="28" t="s">
        <v>12</v>
      </c>
      <c r="U227" s="43"/>
      <c r="V227" s="43"/>
      <c r="W227" s="43"/>
      <c r="X227" s="43"/>
      <c r="Y227" s="41"/>
      <c r="Z227" s="43"/>
      <c r="AA227" s="43"/>
      <c r="AB227" s="43"/>
      <c r="AC227" s="43"/>
    </row>
    <row r="228" spans="1:29" s="46" customFormat="1" ht="14.45" customHeight="1" x14ac:dyDescent="0.25">
      <c r="A228" s="41"/>
      <c r="B228" s="41" t="s">
        <v>7</v>
      </c>
      <c r="C228" s="43">
        <v>4</v>
      </c>
      <c r="D228" s="41" t="s">
        <v>13</v>
      </c>
      <c r="E228" s="42">
        <v>46126</v>
      </c>
      <c r="F228" s="41">
        <v>22220</v>
      </c>
      <c r="G228" s="43" t="s">
        <v>1184</v>
      </c>
      <c r="H228" s="47">
        <v>4111001221708</v>
      </c>
      <c r="I228" s="43" t="s">
        <v>1185</v>
      </c>
      <c r="J228" s="44">
        <v>4500</v>
      </c>
      <c r="K228" s="44">
        <v>4500</v>
      </c>
      <c r="L228" s="44">
        <v>4500</v>
      </c>
      <c r="M228" s="44">
        <v>0</v>
      </c>
      <c r="N228" s="45">
        <f t="shared" si="7"/>
        <v>1</v>
      </c>
      <c r="O228" s="42">
        <v>46133</v>
      </c>
      <c r="P228" s="43" t="s">
        <v>1193</v>
      </c>
      <c r="Q228" s="43" t="s">
        <v>19</v>
      </c>
      <c r="R228" s="41" t="s">
        <v>23</v>
      </c>
      <c r="S228" s="43"/>
      <c r="T228" s="28" t="s">
        <v>12</v>
      </c>
      <c r="U228" s="43"/>
      <c r="V228" s="43"/>
      <c r="W228" s="43"/>
      <c r="X228" s="43"/>
      <c r="Y228" s="41"/>
      <c r="Z228" s="43"/>
      <c r="AA228" s="43"/>
      <c r="AB228" s="43"/>
      <c r="AC228" s="43"/>
    </row>
    <row r="229" spans="1:29" s="25" customFormat="1" ht="14.45" customHeight="1" x14ac:dyDescent="0.25">
      <c r="A229" s="26"/>
      <c r="B229" s="26" t="s">
        <v>8</v>
      </c>
      <c r="C229" s="28">
        <v>5</v>
      </c>
      <c r="D229" s="26" t="s">
        <v>13</v>
      </c>
      <c r="E229" s="27">
        <v>46155</v>
      </c>
      <c r="F229" s="26">
        <v>22155</v>
      </c>
      <c r="G229" s="28" t="s">
        <v>1195</v>
      </c>
      <c r="H229" s="33">
        <v>4264001000228</v>
      </c>
      <c r="I229" s="28" t="s">
        <v>1196</v>
      </c>
      <c r="J229" s="29">
        <v>37000</v>
      </c>
      <c r="K229" s="29">
        <v>40600</v>
      </c>
      <c r="L229" s="29">
        <v>40250</v>
      </c>
      <c r="M229" s="29">
        <v>350</v>
      </c>
      <c r="N229" s="30">
        <f t="shared" si="7"/>
        <v>0.99137931034482762</v>
      </c>
      <c r="O229" s="27">
        <v>46114</v>
      </c>
      <c r="P229" s="28" t="s">
        <v>1198</v>
      </c>
      <c r="Q229" s="28" t="s">
        <v>1148</v>
      </c>
      <c r="R229" s="26" t="s">
        <v>26</v>
      </c>
      <c r="S229" s="28"/>
      <c r="T229" s="28" t="s">
        <v>1200</v>
      </c>
      <c r="U229" s="28"/>
      <c r="V229" s="28"/>
      <c r="W229" s="28"/>
      <c r="X229" s="28"/>
      <c r="Y229" s="26"/>
      <c r="Z229" s="28"/>
      <c r="AA229" s="28"/>
      <c r="AB229" s="28"/>
      <c r="AC229" s="28"/>
    </row>
    <row r="230" spans="1:29" s="25" customFormat="1" ht="14.45" customHeight="1" x14ac:dyDescent="0.25">
      <c r="A230" s="26"/>
      <c r="B230" s="26" t="s">
        <v>8</v>
      </c>
      <c r="C230" s="28">
        <v>5</v>
      </c>
      <c r="D230" s="26" t="s">
        <v>13</v>
      </c>
      <c r="E230" s="27">
        <v>46155</v>
      </c>
      <c r="F230" s="26">
        <v>22155</v>
      </c>
      <c r="G230" s="28" t="s">
        <v>1195</v>
      </c>
      <c r="H230" s="33">
        <v>4264001000771</v>
      </c>
      <c r="I230" s="28" t="s">
        <v>1197</v>
      </c>
      <c r="J230" s="29">
        <v>5000</v>
      </c>
      <c r="K230" s="29">
        <v>5700</v>
      </c>
      <c r="L230" s="29">
        <v>5100</v>
      </c>
      <c r="M230" s="29">
        <v>600</v>
      </c>
      <c r="N230" s="30">
        <f t="shared" si="7"/>
        <v>0.89473684210526316</v>
      </c>
      <c r="O230" s="27">
        <v>46114</v>
      </c>
      <c r="P230" s="28" t="s">
        <v>1199</v>
      </c>
      <c r="Q230" s="28" t="s">
        <v>19</v>
      </c>
      <c r="R230" s="26" t="s">
        <v>23</v>
      </c>
      <c r="S230" s="28"/>
      <c r="T230" s="22" t="s">
        <v>74</v>
      </c>
      <c r="U230" s="28"/>
      <c r="V230" s="28"/>
      <c r="W230" s="28"/>
      <c r="X230" s="28"/>
      <c r="Y230" s="26"/>
      <c r="Z230" s="28"/>
      <c r="AA230" s="28"/>
      <c r="AB230" s="28"/>
      <c r="AC230" s="28"/>
    </row>
    <row r="231" spans="1:29" s="25" customFormat="1" ht="14.45" customHeight="1" x14ac:dyDescent="0.25">
      <c r="A231" s="26"/>
      <c r="B231" s="26" t="s">
        <v>8</v>
      </c>
      <c r="C231" s="28">
        <v>5</v>
      </c>
      <c r="D231" s="26" t="s">
        <v>13</v>
      </c>
      <c r="E231" s="27">
        <v>46158</v>
      </c>
      <c r="F231" s="26">
        <v>22318</v>
      </c>
      <c r="G231" s="7" t="s">
        <v>39</v>
      </c>
      <c r="H231" s="33">
        <v>4093150704373</v>
      </c>
      <c r="I231" s="28" t="s">
        <v>1201</v>
      </c>
      <c r="J231" s="29">
        <v>8000</v>
      </c>
      <c r="K231" s="29">
        <v>8400</v>
      </c>
      <c r="L231" s="29">
        <v>8100</v>
      </c>
      <c r="M231" s="29">
        <v>300</v>
      </c>
      <c r="N231" s="30">
        <f t="shared" si="7"/>
        <v>0.9642857142857143</v>
      </c>
      <c r="O231" s="27">
        <v>46155</v>
      </c>
      <c r="P231" s="28" t="s">
        <v>1202</v>
      </c>
      <c r="Q231" s="28" t="s">
        <v>19</v>
      </c>
      <c r="R231" s="26" t="s">
        <v>23</v>
      </c>
      <c r="S231" s="28"/>
      <c r="T231" s="28" t="s">
        <v>12</v>
      </c>
      <c r="U231" s="28"/>
      <c r="V231" s="28"/>
      <c r="W231" s="28"/>
      <c r="X231" s="28"/>
      <c r="Y231" s="26"/>
      <c r="Z231" s="28"/>
      <c r="AA231" s="28"/>
      <c r="AB231" s="28"/>
      <c r="AC231" s="28"/>
    </row>
    <row r="232" spans="1:29" s="25" customFormat="1" ht="14.45" customHeight="1" x14ac:dyDescent="0.25">
      <c r="A232" s="20">
        <v>294</v>
      </c>
      <c r="B232" s="20" t="s">
        <v>9</v>
      </c>
      <c r="C232" s="22">
        <v>6</v>
      </c>
      <c r="D232" s="20" t="s">
        <v>13</v>
      </c>
      <c r="E232" s="21">
        <v>46183</v>
      </c>
      <c r="F232" s="20" t="s">
        <v>1142</v>
      </c>
      <c r="G232" s="22" t="s">
        <v>57</v>
      </c>
      <c r="H232" s="32" t="s">
        <v>1143</v>
      </c>
      <c r="I232" s="22" t="s">
        <v>1144</v>
      </c>
      <c r="J232" s="23">
        <v>20000</v>
      </c>
      <c r="K232" s="23">
        <v>21200</v>
      </c>
      <c r="L232" s="23">
        <v>19600</v>
      </c>
      <c r="M232" s="23">
        <v>1600</v>
      </c>
      <c r="N232" s="24">
        <f t="shared" si="7"/>
        <v>0.92452830188679247</v>
      </c>
      <c r="O232" s="21">
        <v>46147</v>
      </c>
      <c r="P232" s="22" t="s">
        <v>1145</v>
      </c>
      <c r="Q232" s="22" t="s">
        <v>70</v>
      </c>
      <c r="R232" s="20" t="s">
        <v>26</v>
      </c>
      <c r="S232" s="22" t="s">
        <v>11</v>
      </c>
      <c r="T232" s="22" t="s">
        <v>1236</v>
      </c>
      <c r="U232" s="22" t="s">
        <v>82</v>
      </c>
      <c r="V232" s="22"/>
      <c r="W232" s="22"/>
      <c r="X232" s="22" t="s">
        <v>889</v>
      </c>
      <c r="Y232" s="20" t="s">
        <v>122</v>
      </c>
      <c r="Z232" s="22"/>
      <c r="AA232" s="22"/>
      <c r="AB232" s="22"/>
      <c r="AC232" s="22"/>
    </row>
    <row r="233" spans="1:29" s="25" customFormat="1" ht="14.45" customHeight="1" x14ac:dyDescent="0.25">
      <c r="A233" s="20"/>
      <c r="B233" s="20" t="s">
        <v>9</v>
      </c>
      <c r="C233" s="22">
        <v>6</v>
      </c>
      <c r="D233" s="20" t="s">
        <v>13</v>
      </c>
      <c r="E233" s="21">
        <v>46184</v>
      </c>
      <c r="F233" s="20">
        <v>22316</v>
      </c>
      <c r="G233" s="7" t="s">
        <v>39</v>
      </c>
      <c r="H233" s="32">
        <v>4093150715883</v>
      </c>
      <c r="I233" s="22" t="s">
        <v>1207</v>
      </c>
      <c r="J233" s="23">
        <v>10000</v>
      </c>
      <c r="K233" s="23">
        <v>10800</v>
      </c>
      <c r="L233" s="23">
        <v>10625</v>
      </c>
      <c r="M233" s="23">
        <v>175</v>
      </c>
      <c r="N233" s="24">
        <f t="shared" ref="N233:N247" si="8">IFERROR(L233/K233,"")</f>
        <v>0.98379629629629628</v>
      </c>
      <c r="O233" s="21">
        <v>46154</v>
      </c>
      <c r="P233" s="22" t="s">
        <v>1224</v>
      </c>
      <c r="Q233" s="22" t="s">
        <v>14</v>
      </c>
      <c r="R233" s="20" t="s">
        <v>26</v>
      </c>
      <c r="S233" s="22"/>
      <c r="T233" s="28" t="s">
        <v>12</v>
      </c>
      <c r="U233" s="22"/>
      <c r="V233" s="22"/>
      <c r="W233" s="22"/>
      <c r="X233" s="22"/>
      <c r="Y233" s="20"/>
      <c r="Z233" s="22"/>
      <c r="AA233" s="22"/>
      <c r="AB233" s="22"/>
      <c r="AC233" s="22"/>
    </row>
    <row r="234" spans="1:29" s="25" customFormat="1" ht="14.45" customHeight="1" x14ac:dyDescent="0.25">
      <c r="A234" s="20"/>
      <c r="B234" s="20" t="s">
        <v>9</v>
      </c>
      <c r="C234" s="22">
        <v>6</v>
      </c>
      <c r="D234" s="20" t="s">
        <v>13</v>
      </c>
      <c r="E234" s="21">
        <v>46184</v>
      </c>
      <c r="F234" s="20">
        <v>22316</v>
      </c>
      <c r="G234" s="7" t="s">
        <v>39</v>
      </c>
      <c r="H234" s="32">
        <v>4093250704349</v>
      </c>
      <c r="I234" s="22" t="s">
        <v>1208</v>
      </c>
      <c r="J234" s="23">
        <v>24000</v>
      </c>
      <c r="K234" s="23">
        <v>24750</v>
      </c>
      <c r="L234" s="23">
        <v>22500</v>
      </c>
      <c r="M234" s="23">
        <v>2250</v>
      </c>
      <c r="N234" s="24">
        <f t="shared" si="8"/>
        <v>0.90909090909090906</v>
      </c>
      <c r="O234" s="21">
        <v>46154</v>
      </c>
      <c r="P234" s="22" t="s">
        <v>1224</v>
      </c>
      <c r="Q234" s="22" t="s">
        <v>14</v>
      </c>
      <c r="R234" s="20" t="s">
        <v>26</v>
      </c>
      <c r="S234" s="22"/>
      <c r="T234" s="28" t="s">
        <v>12</v>
      </c>
      <c r="U234" s="22"/>
      <c r="V234" s="22"/>
      <c r="W234" s="22"/>
      <c r="X234" s="22"/>
      <c r="Y234" s="20"/>
      <c r="Z234" s="22"/>
      <c r="AA234" s="22"/>
      <c r="AB234" s="22"/>
      <c r="AC234" s="22"/>
    </row>
    <row r="235" spans="1:29" s="25" customFormat="1" ht="14.45" customHeight="1" x14ac:dyDescent="0.25">
      <c r="A235" s="20"/>
      <c r="B235" s="20" t="s">
        <v>9</v>
      </c>
      <c r="C235" s="22">
        <v>6</v>
      </c>
      <c r="D235" s="20" t="s">
        <v>13</v>
      </c>
      <c r="E235" s="21">
        <v>46184</v>
      </c>
      <c r="F235" s="20">
        <v>22270</v>
      </c>
      <c r="G235" s="11" t="s">
        <v>42</v>
      </c>
      <c r="H235" s="32">
        <v>4054001101772</v>
      </c>
      <c r="I235" s="22" t="s">
        <v>1209</v>
      </c>
      <c r="J235" s="23">
        <v>26800</v>
      </c>
      <c r="K235" s="23">
        <v>4000</v>
      </c>
      <c r="L235" s="23">
        <v>3500</v>
      </c>
      <c r="M235" s="23">
        <v>500</v>
      </c>
      <c r="N235" s="24">
        <f t="shared" si="8"/>
        <v>0.875</v>
      </c>
      <c r="O235" s="21">
        <v>46141</v>
      </c>
      <c r="P235" s="22" t="s">
        <v>1190</v>
      </c>
      <c r="Q235" s="22" t="s">
        <v>19</v>
      </c>
      <c r="R235" s="20" t="s">
        <v>23</v>
      </c>
      <c r="S235" s="22"/>
      <c r="T235" s="28" t="s">
        <v>12</v>
      </c>
      <c r="U235" s="22"/>
      <c r="V235" s="22"/>
      <c r="W235" s="22"/>
      <c r="X235" s="22"/>
      <c r="Y235" s="20"/>
      <c r="Z235" s="22"/>
      <c r="AA235" s="22"/>
      <c r="AB235" s="22"/>
      <c r="AC235" s="22"/>
    </row>
    <row r="236" spans="1:29" s="25" customFormat="1" ht="14.45" customHeight="1" x14ac:dyDescent="0.25">
      <c r="A236" s="20"/>
      <c r="B236" s="20" t="s">
        <v>9</v>
      </c>
      <c r="C236" s="22">
        <v>6</v>
      </c>
      <c r="D236" s="20" t="s">
        <v>13</v>
      </c>
      <c r="E236" s="21">
        <v>46185</v>
      </c>
      <c r="F236" s="20">
        <v>22316</v>
      </c>
      <c r="G236" s="7" t="s">
        <v>39</v>
      </c>
      <c r="H236" s="32">
        <v>4093150704286</v>
      </c>
      <c r="I236" s="22" t="s">
        <v>1210</v>
      </c>
      <c r="J236" s="23">
        <v>4000</v>
      </c>
      <c r="K236" s="23">
        <v>4000</v>
      </c>
      <c r="L236" s="23">
        <v>3600</v>
      </c>
      <c r="M236" s="23">
        <v>400</v>
      </c>
      <c r="N236" s="24">
        <f t="shared" si="8"/>
        <v>0.9</v>
      </c>
      <c r="O236" s="21">
        <v>46154</v>
      </c>
      <c r="P236" s="22" t="s">
        <v>1225</v>
      </c>
      <c r="Q236" s="22" t="s">
        <v>19</v>
      </c>
      <c r="R236" s="20" t="s">
        <v>23</v>
      </c>
      <c r="S236" s="22"/>
      <c r="T236" s="28" t="s">
        <v>12</v>
      </c>
      <c r="U236" s="22"/>
      <c r="V236" s="22"/>
      <c r="W236" s="22"/>
      <c r="X236" s="22"/>
      <c r="Y236" s="20"/>
      <c r="Z236" s="22"/>
      <c r="AA236" s="22"/>
      <c r="AB236" s="22"/>
      <c r="AC236" s="22"/>
    </row>
    <row r="237" spans="1:29" s="25" customFormat="1" ht="14.45" customHeight="1" x14ac:dyDescent="0.25">
      <c r="A237" s="20"/>
      <c r="B237" s="20" t="s">
        <v>9</v>
      </c>
      <c r="C237" s="22">
        <v>6</v>
      </c>
      <c r="D237" s="20" t="s">
        <v>13</v>
      </c>
      <c r="E237" s="21">
        <v>46184</v>
      </c>
      <c r="F237" s="20">
        <v>22316</v>
      </c>
      <c r="G237" s="7" t="s">
        <v>39</v>
      </c>
      <c r="H237" s="32">
        <v>4093250704298</v>
      </c>
      <c r="I237" s="22" t="s">
        <v>1211</v>
      </c>
      <c r="J237" s="23">
        <v>16000</v>
      </c>
      <c r="K237" s="23">
        <v>12150</v>
      </c>
      <c r="L237" s="23">
        <v>11700</v>
      </c>
      <c r="M237" s="23">
        <v>450</v>
      </c>
      <c r="N237" s="24">
        <f t="shared" si="8"/>
        <v>0.96296296296296291</v>
      </c>
      <c r="O237" s="21">
        <v>46154</v>
      </c>
      <c r="P237" s="22" t="s">
        <v>1224</v>
      </c>
      <c r="Q237" s="22" t="s">
        <v>14</v>
      </c>
      <c r="R237" s="20" t="s">
        <v>26</v>
      </c>
      <c r="S237" s="22"/>
      <c r="T237" s="28" t="s">
        <v>12</v>
      </c>
      <c r="U237" s="22"/>
      <c r="V237" s="22"/>
      <c r="W237" s="22"/>
      <c r="X237" s="22"/>
      <c r="Y237" s="20"/>
      <c r="Z237" s="22"/>
      <c r="AA237" s="22"/>
      <c r="AB237" s="22"/>
      <c r="AC237" s="22"/>
    </row>
    <row r="238" spans="1:29" s="25" customFormat="1" ht="14.45" customHeight="1" x14ac:dyDescent="0.25">
      <c r="A238" s="20"/>
      <c r="B238" s="20" t="s">
        <v>9</v>
      </c>
      <c r="C238" s="22">
        <v>6</v>
      </c>
      <c r="D238" s="20" t="s">
        <v>13</v>
      </c>
      <c r="E238" s="21">
        <v>46184</v>
      </c>
      <c r="F238" s="20">
        <v>22316</v>
      </c>
      <c r="G238" s="7" t="s">
        <v>39</v>
      </c>
      <c r="H238" s="32">
        <v>4093150704248</v>
      </c>
      <c r="I238" s="22" t="s">
        <v>1212</v>
      </c>
      <c r="J238" s="23">
        <v>18000</v>
      </c>
      <c r="K238" s="23">
        <v>18900</v>
      </c>
      <c r="L238" s="23">
        <v>18450</v>
      </c>
      <c r="M238" s="23">
        <v>450</v>
      </c>
      <c r="N238" s="24">
        <f t="shared" si="8"/>
        <v>0.97619047619047616</v>
      </c>
      <c r="O238" s="21">
        <v>46154</v>
      </c>
      <c r="P238" s="22" t="s">
        <v>1224</v>
      </c>
      <c r="Q238" s="22" t="s">
        <v>14</v>
      </c>
      <c r="R238" s="20" t="s">
        <v>26</v>
      </c>
      <c r="S238" s="22"/>
      <c r="T238" s="28" t="s">
        <v>12</v>
      </c>
      <c r="U238" s="22"/>
      <c r="V238" s="22"/>
      <c r="W238" s="22"/>
      <c r="X238" s="22"/>
      <c r="Y238" s="20"/>
      <c r="Z238" s="22"/>
      <c r="AA238" s="22"/>
      <c r="AB238" s="22"/>
      <c r="AC238" s="22"/>
    </row>
    <row r="239" spans="1:29" s="25" customFormat="1" ht="14.45" customHeight="1" x14ac:dyDescent="0.25">
      <c r="A239" s="20"/>
      <c r="B239" s="20" t="s">
        <v>9</v>
      </c>
      <c r="C239" s="22">
        <v>6</v>
      </c>
      <c r="D239" s="20" t="s">
        <v>13</v>
      </c>
      <c r="E239" s="21">
        <v>46185</v>
      </c>
      <c r="F239" s="20">
        <v>22316</v>
      </c>
      <c r="G239" s="7" t="s">
        <v>39</v>
      </c>
      <c r="H239" s="32">
        <v>4093250704294</v>
      </c>
      <c r="I239" s="22" t="s">
        <v>1213</v>
      </c>
      <c r="J239" s="23">
        <v>7000</v>
      </c>
      <c r="K239" s="23">
        <v>9450</v>
      </c>
      <c r="L239" s="23">
        <v>2071</v>
      </c>
      <c r="M239" s="23">
        <v>7379</v>
      </c>
      <c r="N239" s="24">
        <f t="shared" si="8"/>
        <v>0.21915343915343916</v>
      </c>
      <c r="O239" s="21">
        <v>46154</v>
      </c>
      <c r="P239" s="22" t="s">
        <v>1226</v>
      </c>
      <c r="Q239" s="22" t="s">
        <v>19</v>
      </c>
      <c r="R239" s="20" t="s">
        <v>23</v>
      </c>
      <c r="S239" s="22"/>
      <c r="T239" s="28" t="s">
        <v>12</v>
      </c>
      <c r="U239" s="22"/>
      <c r="V239" s="22"/>
      <c r="W239" s="22"/>
      <c r="X239" s="22"/>
      <c r="Y239" s="20"/>
      <c r="Z239" s="22"/>
      <c r="AA239" s="22"/>
      <c r="AB239" s="22"/>
      <c r="AC239" s="22"/>
    </row>
    <row r="240" spans="1:29" s="25" customFormat="1" ht="14.45" customHeight="1" x14ac:dyDescent="0.25">
      <c r="A240" s="20"/>
      <c r="B240" s="20" t="s">
        <v>9</v>
      </c>
      <c r="C240" s="22">
        <v>6</v>
      </c>
      <c r="D240" s="20" t="s">
        <v>13</v>
      </c>
      <c r="E240" s="21">
        <v>46188</v>
      </c>
      <c r="F240" s="20">
        <v>22289</v>
      </c>
      <c r="G240" s="22" t="s">
        <v>1177</v>
      </c>
      <c r="H240" s="32">
        <v>4081114000187</v>
      </c>
      <c r="I240" s="22" t="s">
        <v>1214</v>
      </c>
      <c r="J240" s="23">
        <v>23000</v>
      </c>
      <c r="K240" s="23">
        <v>26250</v>
      </c>
      <c r="L240" s="23">
        <v>14500</v>
      </c>
      <c r="M240" s="23">
        <v>11750</v>
      </c>
      <c r="N240" s="24">
        <f t="shared" si="8"/>
        <v>0.55238095238095242</v>
      </c>
      <c r="O240" s="21">
        <v>46149</v>
      </c>
      <c r="P240" s="22" t="s">
        <v>1227</v>
      </c>
      <c r="Q240" s="22" t="s">
        <v>27</v>
      </c>
      <c r="R240" s="20" t="s">
        <v>26</v>
      </c>
      <c r="S240" s="22"/>
      <c r="T240" s="28" t="s">
        <v>12</v>
      </c>
      <c r="U240" s="22"/>
      <c r="V240" s="22"/>
      <c r="W240" s="22"/>
      <c r="X240" s="22"/>
      <c r="Y240" s="20"/>
      <c r="Z240" s="22"/>
      <c r="AA240" s="22"/>
      <c r="AB240" s="22"/>
      <c r="AC240" s="22"/>
    </row>
    <row r="241" spans="1:29" s="25" customFormat="1" ht="14.45" customHeight="1" x14ac:dyDescent="0.25">
      <c r="A241" s="20"/>
      <c r="B241" s="20" t="s">
        <v>9</v>
      </c>
      <c r="C241" s="22">
        <v>6</v>
      </c>
      <c r="D241" s="20" t="s">
        <v>13</v>
      </c>
      <c r="E241" s="21">
        <v>46184</v>
      </c>
      <c r="F241" s="20">
        <v>22316</v>
      </c>
      <c r="G241" s="7" t="s">
        <v>39</v>
      </c>
      <c r="H241" s="32">
        <v>4093150704184</v>
      </c>
      <c r="I241" s="22" t="s">
        <v>1215</v>
      </c>
      <c r="J241" s="23">
        <v>21000</v>
      </c>
      <c r="K241" s="23">
        <v>22050</v>
      </c>
      <c r="L241" s="23">
        <v>20200</v>
      </c>
      <c r="M241" s="23">
        <v>1850</v>
      </c>
      <c r="N241" s="24">
        <f t="shared" si="8"/>
        <v>0.91609977324263037</v>
      </c>
      <c r="O241" s="21">
        <v>46154</v>
      </c>
      <c r="P241" s="22" t="s">
        <v>1224</v>
      </c>
      <c r="Q241" s="22" t="s">
        <v>14</v>
      </c>
      <c r="R241" s="20" t="s">
        <v>26</v>
      </c>
      <c r="S241" s="22"/>
      <c r="T241" s="28" t="s">
        <v>12</v>
      </c>
      <c r="U241" s="22"/>
      <c r="V241" s="22"/>
      <c r="W241" s="22"/>
      <c r="X241" s="22"/>
      <c r="Y241" s="20"/>
      <c r="Z241" s="22"/>
      <c r="AA241" s="22"/>
      <c r="AB241" s="22"/>
      <c r="AC241" s="22"/>
    </row>
    <row r="242" spans="1:29" s="25" customFormat="1" ht="14.45" customHeight="1" x14ac:dyDescent="0.25">
      <c r="A242" s="20"/>
      <c r="B242" s="20" t="s">
        <v>9</v>
      </c>
      <c r="C242" s="22">
        <v>6</v>
      </c>
      <c r="D242" s="20" t="s">
        <v>13</v>
      </c>
      <c r="E242" s="21">
        <v>46189</v>
      </c>
      <c r="F242" s="20">
        <v>22318</v>
      </c>
      <c r="G242" s="7" t="s">
        <v>39</v>
      </c>
      <c r="H242" s="32">
        <v>4093150704186</v>
      </c>
      <c r="I242" s="22" t="s">
        <v>1216</v>
      </c>
      <c r="J242" s="23">
        <v>7000</v>
      </c>
      <c r="K242" s="23">
        <v>8400</v>
      </c>
      <c r="L242" s="23">
        <v>7200</v>
      </c>
      <c r="M242" s="23">
        <v>1200</v>
      </c>
      <c r="N242" s="24">
        <f t="shared" si="8"/>
        <v>0.8571428571428571</v>
      </c>
      <c r="O242" s="21">
        <v>46155</v>
      </c>
      <c r="P242" s="22" t="s">
        <v>1228</v>
      </c>
      <c r="Q242" s="22" t="s">
        <v>19</v>
      </c>
      <c r="R242" s="20" t="s">
        <v>23</v>
      </c>
      <c r="S242" s="22"/>
      <c r="T242" s="28" t="s">
        <v>12</v>
      </c>
      <c r="U242" s="22"/>
      <c r="V242" s="22"/>
      <c r="W242" s="22"/>
      <c r="X242" s="22"/>
      <c r="Y242" s="20"/>
      <c r="Z242" s="22"/>
      <c r="AA242" s="22"/>
      <c r="AB242" s="22"/>
      <c r="AC242" s="22"/>
    </row>
    <row r="243" spans="1:29" s="25" customFormat="1" ht="14.45" customHeight="1" x14ac:dyDescent="0.25">
      <c r="A243" s="20"/>
      <c r="B243" s="20" t="s">
        <v>9</v>
      </c>
      <c r="C243" s="22">
        <v>6</v>
      </c>
      <c r="D243" s="20" t="s">
        <v>13</v>
      </c>
      <c r="E243" s="21">
        <v>46191</v>
      </c>
      <c r="F243" s="20">
        <v>22316</v>
      </c>
      <c r="G243" s="7" t="s">
        <v>39</v>
      </c>
      <c r="H243" s="32">
        <v>4093150704212</v>
      </c>
      <c r="I243" s="22" t="s">
        <v>1163</v>
      </c>
      <c r="J243" s="23">
        <v>6750</v>
      </c>
      <c r="K243" s="23">
        <v>9450</v>
      </c>
      <c r="L243" s="23">
        <v>6750</v>
      </c>
      <c r="M243" s="23">
        <v>2700</v>
      </c>
      <c r="N243" s="24">
        <f t="shared" si="8"/>
        <v>0.7142857142857143</v>
      </c>
      <c r="O243" s="21">
        <v>46154</v>
      </c>
      <c r="P243" s="22" t="s">
        <v>659</v>
      </c>
      <c r="Q243" s="22" t="s">
        <v>19</v>
      </c>
      <c r="R243" s="20" t="s">
        <v>23</v>
      </c>
      <c r="S243" s="22"/>
      <c r="T243" s="28" t="s">
        <v>12</v>
      </c>
      <c r="U243" s="22"/>
      <c r="V243" s="22"/>
      <c r="W243" s="22"/>
      <c r="X243" s="22"/>
      <c r="Y243" s="20"/>
      <c r="Z243" s="22"/>
      <c r="AA243" s="22"/>
      <c r="AB243" s="22"/>
      <c r="AC243" s="22"/>
    </row>
    <row r="244" spans="1:29" s="25" customFormat="1" ht="14.45" customHeight="1" x14ac:dyDescent="0.25">
      <c r="A244" s="20"/>
      <c r="B244" s="20" t="s">
        <v>9</v>
      </c>
      <c r="C244" s="22">
        <v>6</v>
      </c>
      <c r="D244" s="20" t="s">
        <v>13</v>
      </c>
      <c r="E244" s="21">
        <v>46195</v>
      </c>
      <c r="F244" s="20">
        <v>22345</v>
      </c>
      <c r="G244" s="22" t="s">
        <v>1217</v>
      </c>
      <c r="H244" s="32">
        <v>4190001005331</v>
      </c>
      <c r="I244" s="22" t="s">
        <v>1218</v>
      </c>
      <c r="J244" s="23">
        <v>60000</v>
      </c>
      <c r="K244" s="23">
        <v>20250</v>
      </c>
      <c r="L244" s="23"/>
      <c r="M244" s="23">
        <v>20250</v>
      </c>
      <c r="N244" s="24">
        <f t="shared" si="8"/>
        <v>0</v>
      </c>
      <c r="O244" s="21">
        <v>46161</v>
      </c>
      <c r="P244" s="22" t="s">
        <v>1229</v>
      </c>
      <c r="Q244" s="22" t="s">
        <v>21</v>
      </c>
      <c r="R244" s="20" t="s">
        <v>26</v>
      </c>
      <c r="S244" s="22"/>
      <c r="T244" s="22" t="s">
        <v>22</v>
      </c>
      <c r="U244" s="22"/>
      <c r="V244" s="22"/>
      <c r="W244" s="22"/>
      <c r="X244" s="22"/>
      <c r="Y244" s="20"/>
      <c r="Z244" s="22"/>
      <c r="AA244" s="22"/>
      <c r="AB244" s="22"/>
      <c r="AC244" s="22"/>
    </row>
    <row r="245" spans="1:29" s="25" customFormat="1" ht="14.45" customHeight="1" x14ac:dyDescent="0.25">
      <c r="A245" s="20"/>
      <c r="B245" s="20" t="s">
        <v>9</v>
      </c>
      <c r="C245" s="22">
        <v>6</v>
      </c>
      <c r="D245" s="20" t="s">
        <v>13</v>
      </c>
      <c r="E245" s="21">
        <v>46195</v>
      </c>
      <c r="F245" s="20">
        <v>22392</v>
      </c>
      <c r="G245" s="22" t="s">
        <v>1219</v>
      </c>
      <c r="H245" s="32">
        <v>4811014712944</v>
      </c>
      <c r="I245" s="22" t="s">
        <v>1220</v>
      </c>
      <c r="J245" s="23">
        <v>600000</v>
      </c>
      <c r="K245" s="23">
        <v>17000</v>
      </c>
      <c r="L245" s="23"/>
      <c r="M245" s="23">
        <v>17000</v>
      </c>
      <c r="N245" s="24">
        <f t="shared" si="8"/>
        <v>0</v>
      </c>
      <c r="O245" s="21">
        <v>46170</v>
      </c>
      <c r="P245" s="22" t="s">
        <v>1230</v>
      </c>
      <c r="Q245" s="22" t="s">
        <v>18</v>
      </c>
      <c r="R245" s="20" t="s">
        <v>23</v>
      </c>
      <c r="S245" s="22"/>
      <c r="T245" s="22" t="s">
        <v>22</v>
      </c>
      <c r="U245" s="22"/>
      <c r="V245" s="22"/>
      <c r="W245" s="22"/>
      <c r="X245" s="22"/>
      <c r="Y245" s="20"/>
      <c r="Z245" s="22"/>
      <c r="AA245" s="22"/>
      <c r="AB245" s="22"/>
      <c r="AC245" s="22"/>
    </row>
    <row r="246" spans="1:29" s="25" customFormat="1" ht="14.45" customHeight="1" x14ac:dyDescent="0.25">
      <c r="A246" s="20"/>
      <c r="B246" s="20" t="s">
        <v>9</v>
      </c>
      <c r="C246" s="22">
        <v>6</v>
      </c>
      <c r="D246" s="20" t="s">
        <v>13</v>
      </c>
      <c r="E246" s="21">
        <v>46196</v>
      </c>
      <c r="F246" s="20" t="s">
        <v>1205</v>
      </c>
      <c r="G246" s="22" t="s">
        <v>1221</v>
      </c>
      <c r="H246" s="32">
        <v>4790001023554</v>
      </c>
      <c r="I246" s="22" t="s">
        <v>1222</v>
      </c>
      <c r="J246" s="23">
        <v>20000</v>
      </c>
      <c r="K246" s="23">
        <v>16800</v>
      </c>
      <c r="L246" s="23">
        <v>8000</v>
      </c>
      <c r="M246" s="23">
        <v>8800</v>
      </c>
      <c r="N246" s="24">
        <f t="shared" si="8"/>
        <v>0.47619047619047616</v>
      </c>
      <c r="O246" s="21">
        <v>46164</v>
      </c>
      <c r="P246" s="22" t="s">
        <v>1231</v>
      </c>
      <c r="Q246" s="22" t="s">
        <v>1146</v>
      </c>
      <c r="R246" s="20" t="s">
        <v>23</v>
      </c>
      <c r="S246" s="22"/>
      <c r="T246" s="22" t="s">
        <v>22</v>
      </c>
      <c r="U246" s="22"/>
      <c r="V246" s="22"/>
      <c r="W246" s="22"/>
      <c r="X246" s="22"/>
      <c r="Y246" s="20"/>
      <c r="Z246" s="22"/>
      <c r="AA246" s="22"/>
      <c r="AB246" s="22"/>
      <c r="AC246" s="22"/>
    </row>
    <row r="247" spans="1:29" s="25" customFormat="1" ht="14.45" customHeight="1" x14ac:dyDescent="0.25">
      <c r="A247" s="20"/>
      <c r="B247" s="20" t="s">
        <v>9</v>
      </c>
      <c r="C247" s="22">
        <v>6</v>
      </c>
      <c r="D247" s="20" t="s">
        <v>13</v>
      </c>
      <c r="E247" s="21">
        <v>46197</v>
      </c>
      <c r="F247" s="20" t="s">
        <v>1206</v>
      </c>
      <c r="G247" s="22" t="s">
        <v>1221</v>
      </c>
      <c r="H247" s="32">
        <v>4790007023379</v>
      </c>
      <c r="I247" s="22" t="s">
        <v>1223</v>
      </c>
      <c r="J247" s="23">
        <v>20000</v>
      </c>
      <c r="K247" s="23">
        <v>8750</v>
      </c>
      <c r="L247" s="23"/>
      <c r="M247" s="23">
        <v>8750</v>
      </c>
      <c r="N247" s="24">
        <f t="shared" si="8"/>
        <v>0</v>
      </c>
      <c r="O247" s="21">
        <v>46169</v>
      </c>
      <c r="P247" s="22" t="s">
        <v>1232</v>
      </c>
      <c r="Q247" s="22" t="s">
        <v>18</v>
      </c>
      <c r="R247" s="20" t="s">
        <v>23</v>
      </c>
      <c r="S247" s="22"/>
      <c r="T247" s="22" t="s">
        <v>22</v>
      </c>
      <c r="U247" s="22"/>
      <c r="V247" s="22"/>
      <c r="W247" s="22"/>
      <c r="X247" s="22"/>
      <c r="Y247" s="20"/>
      <c r="Z247" s="22"/>
      <c r="AA247" s="22"/>
      <c r="AB247" s="22"/>
      <c r="AC247" s="22"/>
    </row>
  </sheetData>
  <autoFilter ref="A1:AC247"/>
  <pageMargins left="0.75" right="0.75" top="1" bottom="1"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BASE DE DATOS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Diego Carrasco</cp:lastModifiedBy>
  <cp:revision>1</cp:revision>
  <dcterms:created xsi:type="dcterms:W3CDTF">2026-06-25T22:12:03Z</dcterms:created>
  <dcterms:modified xsi:type="dcterms:W3CDTF">2026-07-01T13:20:42Z</dcterms:modified>
  <dc:language>en-US</dc:language>
</cp:coreProperties>
</file>